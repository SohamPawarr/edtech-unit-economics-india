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nsulting\Case Studies\Edtech Retention\Financial Model\"/>
    </mc:Choice>
  </mc:AlternateContent>
  <xr:revisionPtr revIDLastSave="0" documentId="13_ncr:1_{4A41C0CA-39AD-441E-9C5E-459489394993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Navigator " sheetId="1" r:id="rId1"/>
    <sheet name="Assumptions" sheetId="2" r:id="rId2"/>
    <sheet name=" Unit Economics" sheetId="3" r:id="rId3"/>
    <sheet name=" P&amp;L Model" sheetId="4" r:id="rId4"/>
    <sheet name=" Scenario Comparison" sheetId="5" r:id="rId5"/>
    <sheet name=" Sensitivity Analysis" sheetId="6" r:id="rId6"/>
    <sheet name=" Competitive Intel" sheetId="7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6" l="1"/>
  <c r="D20" i="6"/>
  <c r="E20" i="6"/>
  <c r="F20" i="6"/>
  <c r="G20" i="6"/>
  <c r="H20" i="6"/>
  <c r="I20" i="6"/>
  <c r="J20" i="6"/>
  <c r="C21" i="6"/>
  <c r="D21" i="6"/>
  <c r="E21" i="6"/>
  <c r="F21" i="6"/>
  <c r="G21" i="6"/>
  <c r="H21" i="6"/>
  <c r="I21" i="6"/>
  <c r="J21" i="6"/>
  <c r="C22" i="6"/>
  <c r="D22" i="6"/>
  <c r="E22" i="6"/>
  <c r="F22" i="6"/>
  <c r="G22" i="6"/>
  <c r="H22" i="6"/>
  <c r="I22" i="6"/>
  <c r="J22" i="6"/>
  <c r="C23" i="6"/>
  <c r="D23" i="6"/>
  <c r="E23" i="6"/>
  <c r="F23" i="6"/>
  <c r="G23" i="6"/>
  <c r="H23" i="6"/>
  <c r="I23" i="6"/>
  <c r="J23" i="6"/>
  <c r="C24" i="6"/>
  <c r="D24" i="6"/>
  <c r="E24" i="6"/>
  <c r="F24" i="6"/>
  <c r="G24" i="6"/>
  <c r="H24" i="6"/>
  <c r="I24" i="6"/>
  <c r="J24" i="6"/>
  <c r="C25" i="6"/>
  <c r="D25" i="6"/>
  <c r="E25" i="6"/>
  <c r="F25" i="6"/>
  <c r="G25" i="6"/>
  <c r="H25" i="6"/>
  <c r="I25" i="6"/>
  <c r="J25" i="6"/>
  <c r="C26" i="6"/>
  <c r="D26" i="6"/>
  <c r="E26" i="6"/>
  <c r="F26" i="6"/>
  <c r="G26" i="6"/>
  <c r="H26" i="6"/>
  <c r="I26" i="6"/>
  <c r="J26" i="6"/>
  <c r="C27" i="6"/>
  <c r="D27" i="6"/>
  <c r="E27" i="6"/>
  <c r="F27" i="6"/>
  <c r="G27" i="6"/>
  <c r="H27" i="6"/>
  <c r="I27" i="6"/>
  <c r="J27" i="6"/>
  <c r="D19" i="6"/>
  <c r="E19" i="6"/>
  <c r="F19" i="6"/>
  <c r="G19" i="6"/>
  <c r="H19" i="6"/>
  <c r="I19" i="6"/>
  <c r="J19" i="6"/>
  <c r="C19" i="6"/>
  <c r="J15" i="6"/>
  <c r="I15" i="6"/>
  <c r="H15" i="6"/>
  <c r="G15" i="6"/>
  <c r="F15" i="6"/>
  <c r="E15" i="6"/>
  <c r="D15" i="6"/>
  <c r="C15" i="6"/>
  <c r="J14" i="6"/>
  <c r="I14" i="6"/>
  <c r="H14" i="6"/>
  <c r="G14" i="6"/>
  <c r="F14" i="6"/>
  <c r="E14" i="6"/>
  <c r="D14" i="6"/>
  <c r="C14" i="6"/>
  <c r="J13" i="6"/>
  <c r="I13" i="6"/>
  <c r="H13" i="6"/>
  <c r="G13" i="6"/>
  <c r="F13" i="6"/>
  <c r="E13" i="6"/>
  <c r="D13" i="6"/>
  <c r="C13" i="6"/>
  <c r="J12" i="6"/>
  <c r="I12" i="6"/>
  <c r="H12" i="6"/>
  <c r="G12" i="6"/>
  <c r="F12" i="6"/>
  <c r="E12" i="6"/>
  <c r="D12" i="6"/>
  <c r="C12" i="6"/>
  <c r="J11" i="6"/>
  <c r="I11" i="6"/>
  <c r="H11" i="6"/>
  <c r="G11" i="6"/>
  <c r="F11" i="6"/>
  <c r="E11" i="6"/>
  <c r="D11" i="6"/>
  <c r="C11" i="6"/>
  <c r="J10" i="6"/>
  <c r="I10" i="6"/>
  <c r="H10" i="6"/>
  <c r="G10" i="6"/>
  <c r="F10" i="6"/>
  <c r="E10" i="6"/>
  <c r="D10" i="6"/>
  <c r="C10" i="6"/>
  <c r="J9" i="6"/>
  <c r="I9" i="6"/>
  <c r="H9" i="6"/>
  <c r="G9" i="6"/>
  <c r="F9" i="6"/>
  <c r="E9" i="6"/>
  <c r="D9" i="6"/>
  <c r="C9" i="6"/>
  <c r="J8" i="6"/>
  <c r="I8" i="6"/>
  <c r="H8" i="6"/>
  <c r="G8" i="6"/>
  <c r="F8" i="6"/>
  <c r="E8" i="6"/>
  <c r="D8" i="6"/>
  <c r="C8" i="6"/>
  <c r="J7" i="6"/>
  <c r="I7" i="6"/>
  <c r="H7" i="6"/>
  <c r="G7" i="6"/>
  <c r="F7" i="6"/>
  <c r="E7" i="6"/>
  <c r="D7" i="6"/>
  <c r="C7" i="6"/>
  <c r="D27" i="4"/>
  <c r="E27" i="4"/>
  <c r="F27" i="4"/>
  <c r="G27" i="4"/>
  <c r="H27" i="4"/>
  <c r="I27" i="4"/>
  <c r="J27" i="4"/>
  <c r="K27" i="4"/>
  <c r="L27" i="4"/>
  <c r="M27" i="4"/>
  <c r="N27" i="4"/>
  <c r="O27" i="4"/>
  <c r="C27" i="4"/>
  <c r="D22" i="4"/>
  <c r="E22" i="4"/>
  <c r="F22" i="4"/>
  <c r="G22" i="4"/>
  <c r="H22" i="4"/>
  <c r="I22" i="4"/>
  <c r="J22" i="4"/>
  <c r="K22" i="4"/>
  <c r="L22" i="4"/>
  <c r="M22" i="4"/>
  <c r="N22" i="4"/>
  <c r="O22" i="4"/>
  <c r="C22" i="4"/>
  <c r="D21" i="4"/>
  <c r="E21" i="4"/>
  <c r="F21" i="4"/>
  <c r="G21" i="4"/>
  <c r="H21" i="4"/>
  <c r="I21" i="4"/>
  <c r="J21" i="4"/>
  <c r="K21" i="4"/>
  <c r="L21" i="4"/>
  <c r="M21" i="4"/>
  <c r="N21" i="4"/>
  <c r="O21" i="4"/>
  <c r="F18" i="4"/>
  <c r="K18" i="4"/>
  <c r="C18" i="4"/>
  <c r="C21" i="4" s="1"/>
  <c r="D18" i="4"/>
  <c r="E18" i="4"/>
  <c r="G18" i="4"/>
  <c r="H18" i="4"/>
  <c r="I18" i="4"/>
  <c r="J18" i="4"/>
  <c r="L18" i="4"/>
  <c r="M18" i="4"/>
  <c r="N18" i="4"/>
  <c r="O18" i="4"/>
  <c r="D13" i="4"/>
  <c r="E13" i="4"/>
  <c r="F13" i="4"/>
  <c r="G13" i="4"/>
  <c r="H13" i="4"/>
  <c r="I13" i="4"/>
  <c r="J13" i="4"/>
  <c r="K13" i="4"/>
  <c r="L13" i="4"/>
  <c r="M13" i="4"/>
  <c r="N13" i="4"/>
  <c r="O13" i="4"/>
  <c r="C13" i="4"/>
  <c r="D27" i="3"/>
  <c r="C27" i="3"/>
  <c r="F24" i="3"/>
  <c r="E24" i="3"/>
  <c r="D24" i="3"/>
  <c r="F23" i="3"/>
  <c r="E23" i="3"/>
  <c r="D23" i="3"/>
  <c r="E13" i="3"/>
  <c r="F13" i="3" s="1"/>
  <c r="F22" i="3"/>
  <c r="D22" i="3"/>
  <c r="E22" i="3"/>
  <c r="E21" i="3"/>
  <c r="D21" i="3"/>
  <c r="E18" i="3"/>
  <c r="F18" i="3" s="1"/>
  <c r="D18" i="3"/>
  <c r="E17" i="3"/>
  <c r="F17" i="3" s="1"/>
  <c r="C20" i="2"/>
  <c r="D17" i="3"/>
  <c r="E16" i="3"/>
  <c r="D16" i="3"/>
  <c r="D13" i="3"/>
  <c r="E12" i="3"/>
  <c r="F12" i="3" s="1"/>
  <c r="D12" i="3"/>
  <c r="E10" i="3"/>
  <c r="F10" i="3" s="1"/>
  <c r="D10" i="3"/>
  <c r="C22" i="2"/>
  <c r="C21" i="2"/>
  <c r="C34" i="2"/>
  <c r="C33" i="2"/>
  <c r="E9" i="3"/>
  <c r="D9" i="3"/>
  <c r="D11" i="3" s="1"/>
  <c r="D50" i="2"/>
  <c r="C50" i="2"/>
  <c r="F16" i="3" l="1"/>
  <c r="E11" i="3"/>
  <c r="F11" i="3" s="1"/>
  <c r="F9" i="3"/>
</calcChain>
</file>

<file path=xl/sharedStrings.xml><?xml version="1.0" encoding="utf-8"?>
<sst xmlns="http://schemas.openxmlformats.org/spreadsheetml/2006/main" count="391" uniqueCount="334">
  <si>
    <t>EduVista Strategic Pivot — Unit Economics Financial Model</t>
  </si>
  <si>
    <t>Series B EdTech | IIT-JEE Coaching | Tier 2 India | April 2026 | Built by Soham Pawar</t>
  </si>
  <si>
    <t>🔵 BLUE = Input — change these</t>
  </si>
  <si>
    <t>⬛ BLACK = Formula — do not type over</t>
  </si>
  <si>
    <t>🟢 GREEN = Output / Result</t>
  </si>
  <si>
    <t xml:space="preserve">Sheet </t>
  </si>
  <si>
    <t>What it Shows</t>
  </si>
  <si>
    <t xml:space="preserve">Key Ouput </t>
  </si>
  <si>
    <t>📊 Assumptions</t>
  </si>
  <si>
    <t>All hardcoded inputs. Change ONLY here.</t>
  </si>
  <si>
    <t>Central input hub</t>
  </si>
  <si>
    <t>🔢 Unit Economics</t>
  </si>
  <si>
    <t>LTV, CAC, Payback, LTV/CAC ratio — current vs target</t>
  </si>
  <si>
    <t>📈 P&amp;L Model</t>
  </si>
  <si>
    <t>Month-by-month revenue, COGS, contribution margin</t>
  </si>
  <si>
    <t>Breakeven Month 5 ✅</t>
  </si>
  <si>
    <t>⚖️ Scenario Comparison</t>
  </si>
  <si>
    <t>Option A vs B vs C on 10 metrics</t>
  </si>
  <si>
    <t>Option B RECOMMENDED</t>
  </si>
  <si>
    <t>🔬 Sensitivity Analysis</t>
  </si>
  <si>
    <t>LTV/CAC heatmap + Breakeven heatmap</t>
  </si>
  <si>
    <t>Risk map (red→green)</t>
  </si>
  <si>
    <t>📊 Competitive Intel</t>
  </si>
  <si>
    <t>PW / Unacademy / Allen vs EduVista target</t>
  </si>
  <si>
    <t>Gap analysis</t>
  </si>
  <si>
    <t>Built by: Soham Pawar  |  Final Year Engineering Student → Consulting Track
Skills demonstrated: Financial Modelling · Unit Economics · Sensitivity Analysis · Data Visualization</t>
  </si>
  <si>
    <t>EduVista Strategic Pivot — Assumptions Dashboard</t>
  </si>
  <si>
    <t>Series B EdTech Turnaround | IIT-JEE Coaching | Tier 2 India | April 2026</t>
  </si>
  <si>
    <t>Blue cells = inputs. Change ONLY these. Formulas in other sheets auto-update.</t>
  </si>
  <si>
    <t>SECTION A — CURRENT STATE (Pre-Pivot)</t>
  </si>
  <si>
    <t>Assumption</t>
  </si>
  <si>
    <t>Current Value</t>
  </si>
  <si>
    <t>Unit</t>
  </si>
  <si>
    <t>Source / Note</t>
  </si>
  <si>
    <t>B (Parameter)</t>
  </si>
  <si>
    <t>C (Value)</t>
  </si>
  <si>
    <t>D (Unit)</t>
  </si>
  <si>
    <t>E (Source)</t>
  </si>
  <si>
    <t>Monthly Burn Rate</t>
  </si>
  <si>
    <t>₹ / month</t>
  </si>
  <si>
    <t>EduVista Case</t>
  </si>
  <si>
    <t>Cash Runway Remaining</t>
  </si>
  <si>
    <t>Months</t>
  </si>
  <si>
    <t>Critical constraint</t>
  </si>
  <si>
    <t>Active Students (Current)</t>
  </si>
  <si>
    <t>Students</t>
  </si>
  <si>
    <t>Monthly ARPU — Online</t>
  </si>
  <si>
    <t>₹ / student / month</t>
  </si>
  <si>
    <t>Customer Acquisition Cost (CAC)</t>
  </si>
  <si>
    <t>₹ / new student</t>
  </si>
  <si>
    <t>Blended paid + organic</t>
  </si>
  <si>
    <t>6-Month Retention Rate</t>
  </si>
  <si>
    <t>Format as % → shows 42%</t>
  </si>
  <si>
    <t>Gross Margin % — Current</t>
  </si>
  <si>
    <t>Format as % → 38%</t>
  </si>
  <si>
    <t>After teacher + platform</t>
  </si>
  <si>
    <t>Average Customer Lifetime</t>
  </si>
  <si>
    <t>1/(1−monthly churn)</t>
  </si>
  <si>
    <t>Lifetime Value (LTV) — Current</t>
  </si>
  <si>
    <t>₹</t>
  </si>
  <si>
    <t>ARPU × Lifetime</t>
  </si>
  <si>
    <t>LTV − CAC (Net)</t>
  </si>
  <si>
    <t>LTV/CAC Ratio — Current</t>
  </si>
  <si>
    <t>×</t>
  </si>
  <si>
    <t>Threshold = 3x</t>
  </si>
  <si>
    <t>SECTION B — TARGET STATE (Option B: Phygital Lite — RECOMMENDED)</t>
  </si>
  <si>
    <t>Parameter</t>
  </si>
  <si>
    <t>Value</t>
  </si>
  <si>
    <t>Source</t>
  </si>
  <si>
    <t>Target Monthly ARPU</t>
  </si>
  <si>
    <t>+₹600 hybrid premium</t>
  </si>
  <si>
    <t>Target CAC (Post-Pivot)</t>
  </si>
  <si>
    <t>₹ / student</t>
  </si>
  <si>
    <t>−40% via referral shift</t>
  </si>
  <si>
    <t>Target 6-Month Retention</t>
  </si>
  <si>
    <t>% (55%)</t>
  </si>
  <si>
    <t>+13pp via peer groups</t>
  </si>
  <si>
    <t>Target Gross Margin %</t>
  </si>
  <si>
    <t>% (52%)</t>
  </si>
  <si>
    <t>Post cost optimization</t>
  </si>
  <si>
    <t>Monthly Growth Rate (M3–M12)</t>
  </si>
  <si>
    <t>% (15%)</t>
  </si>
  <si>
    <t>Conservative assumption</t>
  </si>
  <si>
    <t>Target Avg Customer Lifetime</t>
  </si>
  <si>
    <t>Derived from 55% retention</t>
  </si>
  <si>
    <t>Target LTV</t>
  </si>
  <si>
    <t>₹4,800 × 52% × 8.5 mo</t>
  </si>
  <si>
    <t>Target LTV/CAC</t>
  </si>
  <si>
    <t>21,216 ÷ 10,800</t>
  </si>
  <si>
    <t>SECTION C — Phygital Lite COSTS</t>
  </si>
  <si>
    <t>No. of Pilot Cities</t>
  </si>
  <si>
    <t>Cities</t>
  </si>
  <si>
    <t>Jaipur/Lucknow/Indore/Surat/Bhopal</t>
  </si>
  <si>
    <t>Venue Rent / City / Month</t>
  </si>
  <si>
    <t>Weekend hub rental</t>
  </si>
  <si>
    <t>Facilitator Cost / City / Month</t>
  </si>
  <si>
    <t>Local facilitators</t>
  </si>
  <si>
    <t>One-Time Setup CapEx</t>
  </si>
  <si>
    <t>₹ total</t>
  </si>
  <si>
    <t>Venue fit-out</t>
  </si>
  <si>
    <t>Monthly Fixed OpEx (Total)</t>
  </si>
  <si>
    <t>Salaries + Tech + G&amp;A</t>
  </si>
  <si>
    <t>SECTION C — CAC CHANNEL MIX ASSUMPTIONS</t>
  </si>
  <si>
    <t>Channel</t>
  </si>
  <si>
    <t>Current Mix %</t>
  </si>
  <si>
    <t>Target Mix %</t>
  </si>
  <si>
    <t>CAC (₹)</t>
  </si>
  <si>
    <t>Meta/Google Ads (Paid)</t>
  </si>
  <si>
    <t>Influencer / YouTube</t>
  </si>
  <si>
    <t>Organic / Referral</t>
  </si>
  <si>
    <t>Weighted Average CAC (Current)</t>
  </si>
  <si>
    <t>Source: EduVista Case Study | Company Filings | Inc42 | PhysicsWallah, Allen benchmarks | April 2026</t>
  </si>
  <si>
    <t>Unit Economics Calculator — Live Online vs. Phygital Lite</t>
  </si>
  <si>
    <t>All formulas link to Assumptions sheet. Change blue inputs there to update everything here.</t>
  </si>
  <si>
    <t>Metric</t>
  </si>
  <si>
    <t>Formula Used</t>
  </si>
  <si>
    <t>CURRENT (Pre-Pivot)</t>
  </si>
  <si>
    <t>TARGET (Option B)</t>
  </si>
  <si>
    <t>Delta / Change</t>
  </si>
  <si>
    <t>REVENUE METRICS</t>
  </si>
  <si>
    <t>Monthly ARPU (₹)</t>
  </si>
  <si>
    <t>Direct input</t>
  </si>
  <si>
    <t>Gross Margin %</t>
  </si>
  <si>
    <t>Revenue − COGS / Revenue</t>
  </si>
  <si>
    <t>Monthly Gross Profit/Student</t>
  </si>
  <si>
    <t>ARPU × Gross Margin</t>
  </si>
  <si>
    <t>Cohort survival</t>
  </si>
  <si>
    <t>Avg Customer Lifetime</t>
  </si>
  <si>
    <t>Derived from churn</t>
  </si>
  <si>
    <t>ACQUISITION &amp; LTV</t>
  </si>
  <si>
    <t>ARPU × GM % x Lifetime</t>
  </si>
  <si>
    <t xml:space="preserve">LTV minus CAC </t>
  </si>
  <si>
    <t>KEY RATIOS (Benchmark: LTV/CAC ≥ 3x, Payback ≤ 12 months)</t>
  </si>
  <si>
    <t>LTV/CAC</t>
  </si>
  <si>
    <t>Phase 2 Goal : 5x</t>
  </si>
  <si>
    <t>CAC Payback Period</t>
  </si>
  <si>
    <t>CAC ÷ (ARPU × GM%)</t>
  </si>
  <si>
    <t>Contribution/Student/Month</t>
  </si>
  <si>
    <t>(ARPU × GM) − Fixed cost share</t>
  </si>
  <si>
    <t>Break-Even Student Count</t>
  </si>
  <si>
    <t>Fixed OpEx ÷ Contribution</t>
  </si>
  <si>
    <t xml:space="preserve">VERDICT </t>
  </si>
  <si>
    <t>IMPROVING</t>
  </si>
  <si>
    <t>GOAL: 3.0× by Month 12 via retention + CAC optimization</t>
  </si>
  <si>
    <t>EduVista — Month-by-Month P&amp;L Model  (Months 0 → 12)</t>
  </si>
  <si>
    <t>M0 = Current State (Pre-Pivot)  |  M3 = Pilot Launch  |  M5 = Breakeven Target  |  M12 = Steady State</t>
  </si>
  <si>
    <t>Metric (₹ Crores unless stated)</t>
  </si>
  <si>
    <t>M0
(Current)</t>
  </si>
  <si>
    <t>M1</t>
  </si>
  <si>
    <t>M2</t>
  </si>
  <si>
    <t>M3
(Pilot)</t>
  </si>
  <si>
    <t>M4</t>
  </si>
  <si>
    <t>M5
(Breakeven)</t>
  </si>
  <si>
    <t>M6</t>
  </si>
  <si>
    <t>M7</t>
  </si>
  <si>
    <t>M8</t>
  </si>
  <si>
    <t>M9</t>
  </si>
  <si>
    <t>M10</t>
  </si>
  <si>
    <t>M11</t>
  </si>
  <si>
    <t>M12
(Target)</t>
  </si>
  <si>
    <t>OPERATING METRICS</t>
  </si>
  <si>
    <t>Active Students (count)</t>
  </si>
  <si>
    <t>Monthly Growth Rate</t>
  </si>
  <si>
    <t>REVENUE</t>
  </si>
  <si>
    <t>Total Revenue (₹ Cr)</t>
  </si>
  <si>
    <t>COST OF GOODS SOLD (COGS)</t>
  </si>
  <si>
    <t>Total COGS (₹ Cr)</t>
  </si>
  <si>
    <t>Teacher/Content (₹ Cr)</t>
  </si>
  <si>
    <t>Venue/Facilitator (₹ Cr)</t>
  </si>
  <si>
    <t xml:space="preserve">GROSS PROFIT </t>
  </si>
  <si>
    <t>Gross Profit (₹ Cr)</t>
  </si>
  <si>
    <t>OPERATING EXPENSES</t>
  </si>
  <si>
    <t>Marketing &amp; CAC Spend (₹ Cr)</t>
  </si>
  <si>
    <t>G&amp;A / Fixed Overhead (₹ Cr)</t>
  </si>
  <si>
    <t>Total OpEx (₹ Cr)</t>
  </si>
  <si>
    <t>CONTRIBUTION MARGIN</t>
  </si>
  <si>
    <t>Contribution Margin (₹ Cr)</t>
  </si>
  <si>
    <t>Cumulative Cash Burn (₹ Cr)</t>
  </si>
  <si>
    <t xml:space="preserve">✅  BREAKEVEN at Month 5 — Contribution turns positive at ₹0 Cr  |  Runway extends 6 → 18 months  </t>
  </si>
  <si>
    <t>Strategic Option Comparison — A vs. B vs. C</t>
  </si>
  <si>
    <t>Option A = Full Hybrid Physical Centers  |  Option B = Phygital Lite Weekend Hubs ✅ RECOMMENDED  |  Option C = Recorded-First</t>
  </si>
  <si>
    <t>Option A
Full Physical Hybrid</t>
  </si>
  <si>
    <t>Option B
Phygital Lite ✅</t>
  </si>
  <si>
    <t>Option C
Recorded-First</t>
  </si>
  <si>
    <t>INVESTMENT</t>
  </si>
  <si>
    <t>Setup CapEx (₹ Lakhs)</t>
  </si>
  <si>
    <t>Monthly OpEx (₹ Lakhs)</t>
  </si>
  <si>
    <t>B optimal</t>
  </si>
  <si>
    <t>Students at Scale</t>
  </si>
  <si>
    <t>Monthly Revenue at Scale (₹ Cr)</t>
  </si>
  <si>
    <t>UNIT ECONOMICS</t>
  </si>
  <si>
    <t>B lowest CAC</t>
  </si>
  <si>
    <t>62%</t>
  </si>
  <si>
    <t>C highest GM</t>
  </si>
  <si>
    <t>6-Month Retention</t>
  </si>
  <si>
    <t>55%</t>
  </si>
  <si>
    <t>35%</t>
  </si>
  <si>
    <t>A best retention</t>
  </si>
  <si>
    <t>LTV/CAC Ratio</t>
  </si>
  <si>
    <t>3.5x</t>
  </si>
  <si>
    <t>3.2x</t>
  </si>
  <si>
    <t>1.4x</t>
  </si>
  <si>
    <t>B/A viable; C broken</t>
  </si>
  <si>
    <t>CAC Payback (months)</t>
  </si>
  <si>
    <t>10</t>
  </si>
  <si>
    <t>B meets target</t>
  </si>
  <si>
    <t>Breakeven Month</t>
  </si>
  <si>
    <t>8</t>
  </si>
  <si>
    <t>5</t>
  </si>
  <si>
    <t>B fastest viable</t>
  </si>
  <si>
    <t>Risk Level</t>
  </si>
  <si>
    <t>HIGH</t>
  </si>
  <si>
    <t>MEDIUM</t>
  </si>
  <si>
    <t>B lowest risk</t>
  </si>
  <si>
    <t>Execution Complexity</t>
  </si>
  <si>
    <t>LOW</t>
  </si>
  <si>
    <t>C easiest</t>
  </si>
  <si>
    <t>Scalability</t>
  </si>
  <si>
    <t>VERY HIGH</t>
  </si>
  <si>
    <t>C most scalable</t>
  </si>
  <si>
    <t>Recommendation</t>
  </si>
  <si>
    <t>Option B balances survival + growth</t>
  </si>
  <si>
    <t>Verdict</t>
  </si>
  <si>
    <t>₹4.50 Cr</t>
  </si>
  <si>
    <t>₹1.25 Cr</t>
  </si>
  <si>
    <t>₹30 L</t>
  </si>
  <si>
    <t>B lowest CapEx</t>
  </si>
  <si>
    <t>₹34.5 L</t>
  </si>
  <si>
    <t>₹12.0 L</t>
  </si>
  <si>
    <t>₹40.0 L</t>
  </si>
  <si>
    <t>REVENUE AND PRICING</t>
  </si>
  <si>
    <t>B balanced value</t>
  </si>
  <si>
    <t>B vs C trade-off</t>
  </si>
  <si>
    <t>₹0.83 Cr</t>
  </si>
  <si>
    <t>₹2.16 Cr</t>
  </si>
  <si>
    <t>₹1.68 Cr</t>
  </si>
  <si>
    <t>B highest revenue</t>
  </si>
  <si>
    <t>18 months</t>
  </si>
  <si>
    <t>12 months</t>
  </si>
  <si>
    <t>10 months</t>
  </si>
  <si>
    <t>BREAKEVEN AND RISK</t>
  </si>
  <si>
    <t>VERDICT</t>
  </si>
  <si>
    <t>❌ NOT VIABLE. CapEx exceeds runway. Breakeven M8 too late.</t>
  </si>
  <si>
    <t>✅ RECOMMENDED. Fastest breakeven (M5). 8-month payback. 55% retention viable.</t>
  </si>
  <si>
    <t>⚠️ HIGH RISK. 35% retention → churn spiral. Breakeven M10+ unsustainable.</t>
  </si>
  <si>
    <t>Option A</t>
  </si>
  <si>
    <t>Option B</t>
  </si>
  <si>
    <t>Option C</t>
  </si>
  <si>
    <t>ARPU (₹00s)</t>
  </si>
  <si>
    <t>Retention %</t>
  </si>
  <si>
    <t>LTV/CAC (×10)</t>
  </si>
  <si>
    <t>CapEx (₹ Lakh×10)</t>
  </si>
  <si>
    <t>Visual Comparison: Key Metrics by Option</t>
  </si>
  <si>
    <t>Sensitivity Analysis — LTV/CAC Ratio by CAC × Retention Rate</t>
  </si>
  <si>
    <t>Assumptions: ARPU = ₹4,800  |  Gross Margin = 52%  |  Avg Lifetime = 1/(1-Retention)  |  LTV = ARPU × GM × Lifetime  |  Ratio = LTV ÷ CAC</t>
  </si>
  <si>
    <t>TABLE 1 — LTV/CAC Ratio  |  🔴 &lt; 1x (Bankruptcy)  🟡 1x–3x (At Risk)  🟢 ≥ 3x (Healthy)</t>
  </si>
  <si>
    <t>CAC (₹)→ / Ret%↓</t>
  </si>
  <si>
    <t>ARPU→ / GM↓</t>
  </si>
  <si>
    <t>Breakeven Students by ARPU × Gross Margin</t>
  </si>
  <si>
    <r>
      <t xml:space="preserve">📍 Current: ARPU=₹4,200 | CAC=₹18,000 | Retention=42% → </t>
    </r>
    <r>
      <rPr>
        <b/>
        <sz val="13"/>
        <color rgb="FFFF0000"/>
        <rFont val="Calibri"/>
        <family val="2"/>
      </rPr>
      <t>RED zone</t>
    </r>
    <r>
      <rPr>
        <b/>
        <sz val="13"/>
        <color rgb="FFFFFFFF"/>
        <rFont val="Calibri"/>
        <family val="2"/>
      </rPr>
      <t xml:space="preserve"> | 📍 Target: ARPU=₹4,800 | Retention=55% → </t>
    </r>
    <r>
      <rPr>
        <b/>
        <sz val="13"/>
        <color rgb="FFFFFF00"/>
        <rFont val="Calibri"/>
        <family val="2"/>
      </rPr>
      <t>YELLOW zone</t>
    </r>
    <r>
      <rPr>
        <b/>
        <sz val="13"/>
        <color rgb="FFFFFFFF"/>
        <rFont val="Calibri"/>
        <family val="2"/>
      </rPr>
      <t xml:space="preserve"> | 📍 Goal: Retention ≥70% → </t>
    </r>
    <r>
      <rPr>
        <b/>
        <sz val="13"/>
        <color rgb="FF1E6B3C"/>
        <rFont val="Calibri"/>
        <family val="2"/>
      </rPr>
      <t>GREEN zone</t>
    </r>
  </si>
  <si>
    <t>Indian K-12 EdTech — Competitive Benchmark Dashboard</t>
  </si>
  <si>
    <t>PhysicsWallah</t>
  </si>
  <si>
    <t>Unacademy</t>
  </si>
  <si>
    <t>Allen CI</t>
  </si>
  <si>
    <t>EduVista Target</t>
  </si>
  <si>
    <t>Annual ARPU – Online (₹)</t>
  </si>
  <si>
    <t>₹8,000–15,000</t>
  </si>
  <si>
    <t>₹10,000–20,000</t>
  </si>
  <si>
    <t>₹3,000–5,000</t>
  </si>
  <si>
    <t>Annual ARPU – Offline (₹)</t>
  </si>
  <si>
    <t>₹65,000</t>
  </si>
  <si>
    <t>N/A</t>
  </si>
  <si>
    <t>₹77,000–3,50,000</t>
  </si>
  <si>
    <t>₹50,000–60,000</t>
  </si>
  <si>
    <t>~₹0</t>
  </si>
  <si>
    <t>₹12,000–18,000</t>
  </si>
  <si>
    <t>Payback Period</t>
  </si>
  <si>
    <t>3–6 months</t>
  </si>
  <si>
    <t>&gt;24 months</t>
  </si>
  <si>
    <t>12–18 months</t>
  </si>
  <si>
    <t>&lt;12 months</t>
  </si>
  <si>
    <t>Gross Margin</t>
  </si>
  <si>
    <t>65–70%</t>
  </si>
  <si>
    <t>40–50%</t>
  </si>
  <si>
    <t>55–65%</t>
  </si>
  <si>
    <t>LTV:CAC Ratio</t>
  </si>
  <si>
    <t>EBITDA Margin</t>
  </si>
  <si>
    <t>10–15%</t>
  </si>
  <si>
    <t>Negative</t>
  </si>
  <si>
    <t>8–12%</t>
  </si>
  <si>
    <t>6-Mo Retention – Online</t>
  </si>
  <si>
    <t>N/A (hybrid)</t>
  </si>
  <si>
    <t>55–60%</t>
  </si>
  <si>
    <t>6-Mo Retention – Hybrid</t>
  </si>
  <si>
    <t>70–75%</t>
  </si>
  <si>
    <t>Revenue FY25</t>
  </si>
  <si>
    <t>₹2,887 Cr</t>
  </si>
  <si>
    <t>₹826 Cr</t>
  </si>
  <si>
    <t>₹3,067 Cr</t>
  </si>
  <si>
    <t>Early Stage</t>
  </si>
  <si>
    <t>Net Profit/Loss FY25</t>
  </si>
  <si>
    <t>Breakeven</t>
  </si>
  <si>
    <t>(₹436 Cr)</t>
  </si>
  <si>
    <t>₹41 Cr</t>
  </si>
  <si>
    <t>Key Advantage</t>
  </si>
  <si>
    <t>PRICING</t>
  </si>
  <si>
    <t>ACQUISITION</t>
  </si>
  <si>
    <t>&lt;₹10,800</t>
  </si>
  <si>
    <t>MARGINS</t>
  </si>
  <si>
    <t>52%(M5)</t>
  </si>
  <si>
    <t>+10% (Y2)</t>
  </si>
  <si>
    <t>RETENTION &amp; LTV</t>
  </si>
  <si>
    <t>Target: 55%</t>
  </si>
  <si>
    <t>Target: 65% (Phase 2)</t>
  </si>
  <si>
    <r>
      <t xml:space="preserve">&gt;10× </t>
    </r>
    <r>
      <rPr>
        <sz val="10"/>
        <color rgb="FF1E6B3C"/>
        <rFont val="Arial"/>
        <family val="2"/>
      </rPr>
      <t>✅</t>
    </r>
  </si>
  <si>
    <r>
      <t xml:space="preserve">0.5x </t>
    </r>
    <r>
      <rPr>
        <sz val="10"/>
        <color rgb="FFFF0000"/>
        <rFont val="Arial"/>
        <family val="2"/>
      </rPr>
      <t>❌</t>
    </r>
  </si>
  <si>
    <r>
      <t xml:space="preserve">4x </t>
    </r>
    <r>
      <rPr>
        <sz val="10"/>
        <color rgb="FF1E6B3C"/>
        <rFont val="Arial"/>
        <family val="2"/>
      </rPr>
      <t>✅</t>
    </r>
  </si>
  <si>
    <t>1.97× (Phase 1)</t>
  </si>
  <si>
    <t>SCALE</t>
  </si>
  <si>
    <t>Student Base</t>
  </si>
  <si>
    <t>~50L registered</t>
  </si>
  <si>
    <t>~35L registered</t>
  </si>
  <si>
    <t>~8L classroom</t>
  </si>
  <si>
    <t>2,400 → 7,500</t>
  </si>
  <si>
    <t>Near-zero CAC + Youtube</t>
  </si>
  <si>
    <t>Scale + Brand</t>
  </si>
  <si>
    <t>Legacy Brand</t>
  </si>
  <si>
    <t>Tier 2 + Phygital</t>
  </si>
  <si>
    <t>GAP vs PW: CAC ₹18K → ₹10.8K (−40%) | Retention 42% → 55% (+13pp) | LTV/CAC 0.82× → 1.97× → Long-term target: 3× (PW benchmark = &gt;10×)</t>
  </si>
  <si>
    <t>Sources: Inc42 Annual Report 2025 | PW DRHP | Economic Times | RaySolute Research | April 2026</t>
  </si>
  <si>
    <t>6,703 − 18,000 ⚠️</t>
  </si>
  <si>
    <t>LTV/CAC 0.37x → 1.97x</t>
  </si>
  <si>
    <t>UNSUSTAINABLE</t>
  </si>
  <si>
    <t>Formula: LTV = ARPU × Gross Margin × Avg Lifetime | Threshold: LTV/CAC ≥ 1.96x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</si>
</sst>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0.0%"/>
    <numFmt numFmtId="165" formatCode="#,##0.0"/>
    <numFmt numFmtId="166" formatCode="0.0\ &quot;months&quot;"/>
    <numFmt numFmtId="167" formatCode="#,##0_ ;[Red]\-#,##0\ "/>
    <numFmt numFmtId="168" formatCode="[&gt;=10000000]\ #\.0,,&quot; Cr&quot;;#"/>
    <numFmt numFmtId="169" formatCode="#\.0000,\ &quot;Cr&quot;"/>
    <numFmt numFmtId="170" formatCode="0.0&quot;x&quot;"/>
  </numFmts>
  <fonts count="6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E6B3C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9"/>
      <color rgb="FF1F3864"/>
      <name val="Calibri"/>
      <family val="2"/>
      <scheme val="minor"/>
    </font>
    <font>
      <i/>
      <sz val="12"/>
      <color theme="0" tint="-0.14999847407452621"/>
      <name val="Calibri"/>
      <family val="2"/>
      <scheme val="minor"/>
    </font>
    <font>
      <b/>
      <sz val="9"/>
      <color rgb="FF1F3864"/>
      <name val="Calibri Light"/>
      <family val="2"/>
      <scheme val="major"/>
    </font>
    <font>
      <b/>
      <sz val="9"/>
      <color theme="1"/>
      <name val="Calibri Light"/>
      <family val="2"/>
      <scheme val="major"/>
    </font>
    <font>
      <b/>
      <sz val="9"/>
      <color rgb="FF1E6B3C"/>
      <name val="Calibri Light"/>
      <family val="2"/>
      <scheme val="major"/>
    </font>
    <font>
      <b/>
      <sz val="10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i/>
      <sz val="10"/>
      <color rgb="FFADB5BD"/>
      <name val="Calibri"/>
      <family val="2"/>
    </font>
    <font>
      <i/>
      <sz val="10"/>
      <color theme="0"/>
      <name val="Calibri"/>
      <family val="2"/>
    </font>
    <font>
      <b/>
      <sz val="16"/>
      <color rgb="FFFFFFFF"/>
      <name val="Calibri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theme="1"/>
      <name val="Calibri"/>
      <family val="2"/>
      <scheme val="minor"/>
    </font>
    <font>
      <b/>
      <sz val="9"/>
      <color rgb="FF1E6B3C"/>
      <name val="Calibri"/>
      <family val="2"/>
      <scheme val="minor"/>
    </font>
    <font>
      <sz val="10"/>
      <color theme="1"/>
      <name val="Arial Unicode MS"/>
    </font>
    <font>
      <sz val="11"/>
      <color rgb="FF0000FF"/>
      <name val="Calibri"/>
      <family val="2"/>
    </font>
    <font>
      <i/>
      <sz val="9"/>
      <color rgb="FF595959"/>
      <name val="Calibri"/>
      <family val="2"/>
    </font>
    <font>
      <sz val="10"/>
      <color rgb="FF2D2D2D"/>
      <name val="Calibri"/>
      <family val="2"/>
    </font>
    <font>
      <sz val="10"/>
      <color rgb="FF0000FF"/>
      <name val="Calibri"/>
      <family val="2"/>
    </font>
    <font>
      <i/>
      <sz val="10"/>
      <color rgb="FF595959"/>
      <name val="Calibri"/>
      <family val="2"/>
    </font>
    <font>
      <b/>
      <sz val="10"/>
      <color rgb="FF2D2D2D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Calibri"/>
      <family val="2"/>
    </font>
    <font>
      <i/>
      <sz val="9"/>
      <color rgb="FFADB5BD"/>
      <name val="Calibri"/>
      <family val="2"/>
    </font>
    <font>
      <i/>
      <sz val="11"/>
      <color rgb="FFADB5BD"/>
      <name val="Calibri"/>
      <family val="2"/>
    </font>
    <font>
      <b/>
      <i/>
      <sz val="11"/>
      <color rgb="FF0B1F3A"/>
      <name val="Calibri"/>
      <family val="2"/>
    </font>
    <font>
      <i/>
      <sz val="10"/>
      <color theme="0" tint="-0.499984740745262"/>
      <name val="Calibri"/>
      <family val="2"/>
    </font>
    <font>
      <sz val="10"/>
      <color rgb="FFC0392B"/>
      <name val="Calibri"/>
      <family val="2"/>
      <scheme val="minor"/>
    </font>
    <font>
      <sz val="10"/>
      <color rgb="FFC0392B"/>
      <name val="Calibri"/>
      <family val="2"/>
    </font>
    <font>
      <sz val="11"/>
      <color rgb="FFC0392B"/>
      <name val="Calibri"/>
      <family val="2"/>
      <scheme val="minor"/>
    </font>
    <font>
      <sz val="10"/>
      <color rgb="FF1E6B3C"/>
      <name val="Calibri"/>
      <family val="2"/>
      <scheme val="minor"/>
    </font>
    <font>
      <sz val="10"/>
      <color rgb="FF1E6B3C"/>
      <name val="Calibri"/>
      <family val="2"/>
    </font>
    <font>
      <b/>
      <sz val="10"/>
      <color theme="0"/>
      <name val="Calibri"/>
      <family val="2"/>
    </font>
    <font>
      <b/>
      <sz val="10"/>
      <color rgb="FF0061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1E6B3C"/>
      <name val="Calibri"/>
      <family val="2"/>
    </font>
    <font>
      <b/>
      <sz val="10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9"/>
      <color rgb="FF2D2D2D"/>
      <name val="Calibri"/>
      <family val="2"/>
    </font>
    <font>
      <b/>
      <sz val="14"/>
      <color rgb="FFFFFFFF"/>
      <name val="Calibri"/>
    </font>
    <font>
      <i/>
      <sz val="9"/>
      <color rgb="FFADB5BD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FFFFFF"/>
      <name val="Calibri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  <scheme val="minor"/>
    </font>
    <font>
      <b/>
      <sz val="13"/>
      <color rgb="FFFF0000"/>
      <name val="Calibri"/>
      <family val="2"/>
    </font>
    <font>
      <b/>
      <sz val="13"/>
      <color rgb="FFFFFF00"/>
      <name val="Calibri"/>
      <family val="2"/>
    </font>
    <font>
      <b/>
      <sz val="13"/>
      <color rgb="FF1E6B3C"/>
      <name val="Calibri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1E6B3C"/>
      <name val="Arial"/>
      <family val="2"/>
    </font>
    <font>
      <sz val="10"/>
      <color rgb="FFFF0000"/>
      <name val="Arial"/>
      <family val="2"/>
    </font>
    <font>
      <i/>
      <sz val="9"/>
      <color rgb="FF59595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B1F3A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6949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B1F3A"/>
      </patternFill>
    </fill>
    <fill>
      <patternFill patternType="solid">
        <fgColor rgb="FF005F73"/>
      </patternFill>
    </fill>
    <fill>
      <patternFill patternType="solid">
        <fgColor rgb="FFDCE6F1"/>
      </patternFill>
    </fill>
    <fill>
      <patternFill patternType="solid">
        <fgColor rgb="FFF5F7FA"/>
      </patternFill>
    </fill>
    <fill>
      <patternFill patternType="solid">
        <fgColor rgb="FF4A4E69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C0392B"/>
        <bgColor indexed="64"/>
      </patternFill>
    </fill>
    <fill>
      <patternFill patternType="solid">
        <fgColor rgb="FF1E6B3C"/>
        <bgColor indexed="64"/>
      </patternFill>
    </fill>
    <fill>
      <patternFill patternType="solid">
        <fgColor rgb="FF1A3A5C"/>
      </patternFill>
    </fill>
    <fill>
      <patternFill patternType="solid">
        <fgColor rgb="FFF5F7FA"/>
        <bgColor indexed="64"/>
      </patternFill>
    </fill>
    <fill>
      <patternFill patternType="solid">
        <fgColor rgb="FF1E8449"/>
      </patternFill>
    </fill>
    <fill>
      <patternFill patternType="solid">
        <fgColor rgb="FFD4A843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8B0000"/>
      </patternFill>
    </fill>
    <fill>
      <patternFill patternType="solid">
        <fgColor rgb="FFFFF2CC"/>
      </patternFill>
    </fill>
    <fill>
      <patternFill patternType="solid">
        <fgColor rgb="FFEEE8F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AD47"/>
        <bgColor rgb="FF339966"/>
      </patternFill>
    </fill>
    <fill>
      <patternFill patternType="solid">
        <fgColor rgb="FFFF0000"/>
        <bgColor rgb="FFC00000"/>
      </patternFill>
    </fill>
    <fill>
      <patternFill patternType="solid">
        <fgColor rgb="FFFF6B35"/>
        <bgColor rgb="FFFF808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00B0F0"/>
        <bgColor rgb="FF333333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005F73"/>
      </bottom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medium">
        <color rgb="FF0B1F3A"/>
      </top>
      <bottom style="thin">
        <color rgb="FFD6DCE4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D6DCE4"/>
      </top>
      <bottom style="medium">
        <color rgb="FF005F7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4" fillId="0" borderId="0" xfId="0" applyFont="1"/>
    <xf numFmtId="0" fontId="8" fillId="4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6" borderId="0" xfId="0" applyFont="1" applyFill="1"/>
    <xf numFmtId="0" fontId="12" fillId="7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7" fillId="0" borderId="0" xfId="0" applyFont="1"/>
    <xf numFmtId="0" fontId="15" fillId="0" borderId="0" xfId="0" applyFont="1"/>
    <xf numFmtId="0" fontId="20" fillId="0" borderId="0" xfId="0" applyFont="1"/>
    <xf numFmtId="0" fontId="22" fillId="9" borderId="3" xfId="0" applyFont="1" applyFill="1" applyBorder="1" applyAlignment="1">
      <alignment horizontal="center" vertical="center" wrapText="1"/>
    </xf>
    <xf numFmtId="0" fontId="6" fillId="4" borderId="0" xfId="0" applyFont="1" applyFill="1"/>
    <xf numFmtId="0" fontId="23" fillId="0" borderId="0" xfId="0" applyFont="1"/>
    <xf numFmtId="0" fontId="24" fillId="0" borderId="0" xfId="0" applyFont="1"/>
    <xf numFmtId="0" fontId="19" fillId="7" borderId="1" xfId="0" applyFont="1" applyFill="1" applyBorder="1" applyAlignment="1">
      <alignment horizontal="left" vertical="center" wrapText="1"/>
    </xf>
    <xf numFmtId="3" fontId="26" fillId="0" borderId="3" xfId="0" applyNumberFormat="1" applyFont="1" applyBorder="1" applyAlignment="1">
      <alignment horizontal="right" vertical="center"/>
    </xf>
    <xf numFmtId="0" fontId="28" fillId="11" borderId="3" xfId="0" applyFont="1" applyFill="1" applyBorder="1" applyAlignment="1">
      <alignment horizontal="left" vertical="center" indent="1"/>
    </xf>
    <xf numFmtId="0" fontId="14" fillId="0" borderId="0" xfId="0" applyFont="1"/>
    <xf numFmtId="3" fontId="29" fillId="10" borderId="3" xfId="0" applyNumberFormat="1" applyFont="1" applyFill="1" applyBorder="1" applyAlignment="1">
      <alignment horizontal="right" vertical="center"/>
    </xf>
    <xf numFmtId="0" fontId="30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left" vertical="center" indent="1"/>
    </xf>
    <xf numFmtId="3" fontId="29" fillId="0" borderId="3" xfId="0" applyNumberFormat="1" applyFont="1" applyBorder="1" applyAlignment="1">
      <alignment horizontal="right" vertical="center"/>
    </xf>
    <xf numFmtId="164" fontId="29" fillId="10" borderId="3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left" vertical="top" wrapText="1"/>
    </xf>
    <xf numFmtId="0" fontId="28" fillId="11" borderId="3" xfId="0" applyFont="1" applyFill="1" applyBorder="1" applyAlignment="1">
      <alignment horizontal="left" vertical="top"/>
    </xf>
    <xf numFmtId="0" fontId="28" fillId="0" borderId="3" xfId="0" applyFont="1" applyBorder="1" applyAlignment="1">
      <alignment horizontal="left" vertical="top"/>
    </xf>
    <xf numFmtId="164" fontId="29" fillId="0" borderId="3" xfId="0" applyNumberFormat="1" applyFont="1" applyBorder="1" applyAlignment="1">
      <alignment horizontal="right" vertical="center"/>
    </xf>
    <xf numFmtId="9" fontId="26" fillId="10" borderId="3" xfId="0" applyNumberFormat="1" applyFont="1" applyFill="1" applyBorder="1" applyAlignment="1">
      <alignment horizontal="center" vertical="center" wrapText="1"/>
    </xf>
    <xf numFmtId="3" fontId="26" fillId="10" borderId="3" xfId="0" applyNumberFormat="1" applyFont="1" applyFill="1" applyBorder="1" applyAlignment="1">
      <alignment horizontal="center" vertical="center" wrapText="1"/>
    </xf>
    <xf numFmtId="0" fontId="28" fillId="13" borderId="3" xfId="0" applyFont="1" applyFill="1" applyBorder="1" applyAlignment="1">
      <alignment horizontal="left" vertical="center" indent="1"/>
    </xf>
    <xf numFmtId="0" fontId="31" fillId="0" borderId="4" xfId="0" applyFont="1" applyBorder="1" applyAlignment="1">
      <alignment horizontal="left" vertical="center" indent="1"/>
    </xf>
    <xf numFmtId="3" fontId="32" fillId="14" borderId="4" xfId="0" applyNumberFormat="1" applyFont="1" applyFill="1" applyBorder="1" applyAlignment="1">
      <alignment horizontal="right" vertical="center"/>
    </xf>
    <xf numFmtId="0" fontId="29" fillId="10" borderId="3" xfId="0" applyFont="1" applyFill="1" applyBorder="1" applyAlignment="1">
      <alignment horizontal="right" vertical="center"/>
    </xf>
    <xf numFmtId="9" fontId="29" fillId="10" borderId="3" xfId="0" applyNumberFormat="1" applyFont="1" applyFill="1" applyBorder="1" applyAlignment="1">
      <alignment horizontal="right" vertical="center"/>
    </xf>
    <xf numFmtId="4" fontId="29" fillId="10" borderId="3" xfId="0" applyNumberFormat="1" applyFont="1" applyFill="1" applyBorder="1" applyAlignment="1">
      <alignment horizontal="right" vertical="center"/>
    </xf>
    <xf numFmtId="165" fontId="29" fillId="10" borderId="3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6" fillId="0" borderId="0" xfId="0" applyFont="1" applyAlignment="1">
      <alignment vertical="center" wrapText="1"/>
    </xf>
    <xf numFmtId="0" fontId="22" fillId="15" borderId="3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6" fontId="14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30" fillId="0" borderId="3" xfId="0" applyFont="1" applyBorder="1" applyAlignment="1">
      <alignment horizontal="left" vertical="center"/>
    </xf>
    <xf numFmtId="0" fontId="37" fillId="11" borderId="3" xfId="0" applyFont="1" applyFill="1" applyBorder="1" applyAlignment="1">
      <alignment horizontal="left" vertical="center"/>
    </xf>
    <xf numFmtId="0" fontId="28" fillId="18" borderId="3" xfId="0" applyFont="1" applyFill="1" applyBorder="1" applyAlignment="1">
      <alignment horizontal="left" vertical="top"/>
    </xf>
    <xf numFmtId="6" fontId="14" fillId="18" borderId="1" xfId="0" applyNumberFormat="1" applyFont="1" applyFill="1" applyBorder="1" applyAlignment="1">
      <alignment horizontal="left" vertical="center" wrapText="1"/>
    </xf>
    <xf numFmtId="0" fontId="0" fillId="18" borderId="0" xfId="0" applyFill="1"/>
    <xf numFmtId="0" fontId="30" fillId="18" borderId="3" xfId="0" applyFont="1" applyFill="1" applyBorder="1" applyAlignment="1">
      <alignment horizontal="left" vertical="center"/>
    </xf>
    <xf numFmtId="166" fontId="14" fillId="0" borderId="1" xfId="0" applyNumberFormat="1" applyFont="1" applyBorder="1" applyAlignment="1">
      <alignment horizontal="left" vertical="center" wrapText="1"/>
    </xf>
    <xf numFmtId="6" fontId="38" fillId="0" borderId="1" xfId="0" applyNumberFormat="1" applyFont="1" applyBorder="1" applyAlignment="1">
      <alignment horizontal="left" vertical="center" wrapText="1"/>
    </xf>
    <xf numFmtId="0" fontId="39" fillId="11" borderId="3" xfId="0" applyFont="1" applyFill="1" applyBorder="1" applyAlignment="1">
      <alignment horizontal="left" vertical="top"/>
    </xf>
    <xf numFmtId="166" fontId="38" fillId="0" borderId="1" xfId="0" applyNumberFormat="1" applyFont="1" applyBorder="1" applyAlignment="1">
      <alignment horizontal="left" vertical="center" wrapText="1"/>
    </xf>
    <xf numFmtId="6" fontId="38" fillId="18" borderId="1" xfId="0" applyNumberFormat="1" applyFont="1" applyFill="1" applyBorder="1" applyAlignment="1">
      <alignment horizontal="left" vertical="center" wrapText="1"/>
    </xf>
    <xf numFmtId="4" fontId="40" fillId="0" borderId="0" xfId="0" applyNumberFormat="1" applyFont="1" applyAlignment="1">
      <alignment horizontal="left"/>
    </xf>
    <xf numFmtId="166" fontId="40" fillId="18" borderId="0" xfId="0" applyNumberFormat="1" applyFont="1" applyFill="1" applyAlignment="1">
      <alignment horizontal="left"/>
    </xf>
    <xf numFmtId="6" fontId="40" fillId="0" borderId="0" xfId="0" applyNumberFormat="1" applyFont="1" applyAlignment="1">
      <alignment horizontal="left"/>
    </xf>
    <xf numFmtId="167" fontId="40" fillId="18" borderId="0" xfId="0" applyNumberFormat="1" applyFont="1" applyFill="1" applyAlignment="1">
      <alignment horizontal="left"/>
    </xf>
    <xf numFmtId="166" fontId="0" fillId="18" borderId="0" xfId="0" applyNumberFormat="1" applyFill="1" applyAlignment="1">
      <alignment horizontal="left"/>
    </xf>
    <xf numFmtId="6" fontId="0" fillId="0" borderId="0" xfId="0" applyNumberFormat="1" applyAlignment="1">
      <alignment horizontal="left"/>
    </xf>
    <xf numFmtId="167" fontId="0" fillId="18" borderId="0" xfId="0" applyNumberFormat="1" applyFill="1" applyAlignment="1">
      <alignment horizontal="left"/>
    </xf>
    <xf numFmtId="0" fontId="0" fillId="0" borderId="0" xfId="0" applyAlignment="1">
      <alignment horizontal="left"/>
    </xf>
    <xf numFmtId="6" fontId="41" fillId="0" borderId="1" xfId="0" applyNumberFormat="1" applyFont="1" applyBorder="1" applyAlignment="1">
      <alignment horizontal="left" vertical="center" wrapText="1"/>
    </xf>
    <xf numFmtId="0" fontId="42" fillId="11" borderId="3" xfId="0" applyFont="1" applyFill="1" applyBorder="1" applyAlignment="1">
      <alignment horizontal="left" vertical="top"/>
    </xf>
    <xf numFmtId="166" fontId="41" fillId="0" borderId="1" xfId="0" applyNumberFormat="1" applyFont="1" applyBorder="1" applyAlignment="1">
      <alignment horizontal="left" vertical="center" wrapText="1"/>
    </xf>
    <xf numFmtId="6" fontId="41" fillId="18" borderId="1" xfId="0" applyNumberFormat="1" applyFont="1" applyFill="1" applyBorder="1" applyAlignment="1">
      <alignment horizontal="left" vertical="center" wrapText="1"/>
    </xf>
    <xf numFmtId="2" fontId="41" fillId="0" borderId="1" xfId="0" applyNumberFormat="1" applyFont="1" applyBorder="1" applyAlignment="1">
      <alignment horizontal="left" vertical="center" wrapText="1"/>
    </xf>
    <xf numFmtId="166" fontId="4" fillId="18" borderId="0" xfId="0" applyNumberFormat="1" applyFont="1" applyFill="1" applyAlignment="1">
      <alignment horizontal="left"/>
    </xf>
    <xf numFmtId="6" fontId="4" fillId="0" borderId="0" xfId="0" applyNumberFormat="1" applyFont="1" applyAlignment="1">
      <alignment horizontal="left"/>
    </xf>
    <xf numFmtId="167" fontId="4" fillId="18" borderId="0" xfId="0" applyNumberFormat="1" applyFont="1" applyFill="1" applyAlignment="1">
      <alignment horizontal="left"/>
    </xf>
    <xf numFmtId="0" fontId="43" fillId="9" borderId="3" xfId="0" applyFont="1" applyFill="1" applyBorder="1" applyAlignment="1">
      <alignment horizontal="center" vertical="center" wrapText="1"/>
    </xf>
    <xf numFmtId="0" fontId="1" fillId="15" borderId="0" xfId="0" applyFont="1" applyFill="1"/>
    <xf numFmtId="1" fontId="0" fillId="0" borderId="0" xfId="0" applyNumberFormat="1"/>
    <xf numFmtId="0" fontId="1" fillId="16" borderId="0" xfId="0" applyFont="1" applyFill="1"/>
    <xf numFmtId="0" fontId="22" fillId="8" borderId="3" xfId="0" applyFont="1" applyFill="1" applyBorder="1" applyAlignment="1">
      <alignment horizontal="center" vertical="center" wrapText="1"/>
    </xf>
    <xf numFmtId="0" fontId="22" fillId="17" borderId="3" xfId="0" applyFont="1" applyFill="1" applyBorder="1" applyAlignment="1">
      <alignment horizontal="center" vertical="center" wrapText="1"/>
    </xf>
    <xf numFmtId="0" fontId="22" fillId="19" borderId="3" xfId="0" applyFont="1" applyFill="1" applyBorder="1" applyAlignment="1">
      <alignment horizontal="center" vertical="center" wrapText="1"/>
    </xf>
    <xf numFmtId="3" fontId="46" fillId="13" borderId="3" xfId="0" applyNumberFormat="1" applyFont="1" applyFill="1" applyBorder="1" applyAlignment="1">
      <alignment horizontal="right" vertical="center"/>
    </xf>
    <xf numFmtId="9" fontId="29" fillId="11" borderId="3" xfId="0" applyNumberFormat="1" applyFont="1" applyFill="1" applyBorder="1" applyAlignment="1">
      <alignment horizontal="right" vertical="center"/>
    </xf>
    <xf numFmtId="9" fontId="29" fillId="13" borderId="3" xfId="0" applyNumberFormat="1" applyFont="1" applyFill="1" applyBorder="1" applyAlignment="1">
      <alignment horizontal="right" vertical="center"/>
    </xf>
    <xf numFmtId="3" fontId="26" fillId="11" borderId="3" xfId="0" applyNumberFormat="1" applyFont="1" applyFill="1" applyBorder="1" applyAlignment="1">
      <alignment horizontal="right" vertical="center"/>
    </xf>
    <xf numFmtId="0" fontId="22" fillId="20" borderId="3" xfId="0" applyFont="1" applyFill="1" applyBorder="1" applyAlignment="1">
      <alignment horizontal="center" vertical="center" wrapText="1"/>
    </xf>
    <xf numFmtId="4" fontId="45" fillId="13" borderId="3" xfId="0" applyNumberFormat="1" applyFont="1" applyFill="1" applyBorder="1" applyAlignment="1">
      <alignment horizontal="right" vertical="center"/>
    </xf>
    <xf numFmtId="0" fontId="28" fillId="18" borderId="3" xfId="0" applyFont="1" applyFill="1" applyBorder="1" applyAlignment="1">
      <alignment horizontal="left" vertical="center" indent="1"/>
    </xf>
    <xf numFmtId="168" fontId="45" fillId="18" borderId="3" xfId="0" applyNumberFormat="1" applyFont="1" applyFill="1" applyBorder="1" applyAlignment="1">
      <alignment horizontal="right" vertical="center"/>
    </xf>
    <xf numFmtId="0" fontId="31" fillId="11" borderId="3" xfId="0" applyFont="1" applyFill="1" applyBorder="1" applyAlignment="1">
      <alignment horizontal="left" vertical="center" indent="1"/>
    </xf>
    <xf numFmtId="0" fontId="14" fillId="18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left" vertical="center" wrapText="1"/>
    </xf>
    <xf numFmtId="4" fontId="44" fillId="2" borderId="3" xfId="0" applyNumberFormat="1" applyFont="1" applyFill="1" applyBorder="1" applyAlignment="1">
      <alignment horizontal="right" vertical="center"/>
    </xf>
    <xf numFmtId="169" fontId="25" fillId="0" borderId="0" xfId="0" applyNumberFormat="1" applyFont="1"/>
    <xf numFmtId="169" fontId="14" fillId="0" borderId="1" xfId="0" applyNumberFormat="1" applyFont="1" applyBorder="1" applyAlignment="1">
      <alignment horizontal="right" vertical="center" wrapText="1"/>
    </xf>
    <xf numFmtId="169" fontId="14" fillId="18" borderId="1" xfId="0" applyNumberFormat="1" applyFont="1" applyFill="1" applyBorder="1" applyAlignment="1">
      <alignment horizontal="right" vertical="center" wrapText="1"/>
    </xf>
    <xf numFmtId="0" fontId="47" fillId="13" borderId="3" xfId="0" applyFont="1" applyFill="1" applyBorder="1" applyAlignment="1">
      <alignment horizontal="left" vertical="center" indent="1"/>
    </xf>
    <xf numFmtId="0" fontId="47" fillId="11" borderId="3" xfId="0" applyFont="1" applyFill="1" applyBorder="1" applyAlignment="1">
      <alignment horizontal="left" vertical="center" indent="1"/>
    </xf>
    <xf numFmtId="0" fontId="14" fillId="0" borderId="0" xfId="0" applyFont="1" applyAlignment="1">
      <alignment horizontal="right"/>
    </xf>
    <xf numFmtId="169" fontId="48" fillId="13" borderId="3" xfId="0" applyNumberFormat="1" applyFont="1" applyFill="1" applyBorder="1" applyAlignment="1">
      <alignment horizontal="right" vertical="center"/>
    </xf>
    <xf numFmtId="164" fontId="46" fillId="11" borderId="3" xfId="0" applyNumberFormat="1" applyFont="1" applyFill="1" applyBorder="1" applyAlignment="1">
      <alignment horizontal="right" vertical="center"/>
    </xf>
    <xf numFmtId="169" fontId="14" fillId="0" borderId="0" xfId="0" applyNumberFormat="1" applyFont="1"/>
    <xf numFmtId="3" fontId="46" fillId="21" borderId="3" xfId="0" applyNumberFormat="1" applyFont="1" applyFill="1" applyBorder="1" applyAlignment="1">
      <alignment horizontal="right" vertical="center"/>
    </xf>
    <xf numFmtId="9" fontId="29" fillId="21" borderId="3" xfId="0" applyNumberFormat="1" applyFont="1" applyFill="1" applyBorder="1" applyAlignment="1">
      <alignment horizontal="right" vertical="center"/>
    </xf>
    <xf numFmtId="3" fontId="26" fillId="21" borderId="3" xfId="0" applyNumberFormat="1" applyFont="1" applyFill="1" applyBorder="1" applyAlignment="1">
      <alignment horizontal="right" vertical="center"/>
    </xf>
    <xf numFmtId="168" fontId="45" fillId="21" borderId="3" xfId="0" applyNumberFormat="1" applyFont="1" applyFill="1" applyBorder="1" applyAlignment="1">
      <alignment horizontal="right" vertical="center"/>
    </xf>
    <xf numFmtId="169" fontId="25" fillId="21" borderId="0" xfId="0" applyNumberFormat="1" applyFont="1" applyFill="1"/>
    <xf numFmtId="169" fontId="14" fillId="21" borderId="1" xfId="0" applyNumberFormat="1" applyFont="1" applyFill="1" applyBorder="1" applyAlignment="1">
      <alignment horizontal="right" vertical="center" wrapText="1"/>
    </xf>
    <xf numFmtId="169" fontId="48" fillId="21" borderId="3" xfId="0" applyNumberFormat="1" applyFont="1" applyFill="1" applyBorder="1" applyAlignment="1">
      <alignment horizontal="right" vertical="center"/>
    </xf>
    <xf numFmtId="164" fontId="46" fillId="21" borderId="3" xfId="0" applyNumberFormat="1" applyFont="1" applyFill="1" applyBorder="1" applyAlignment="1">
      <alignment horizontal="right" vertical="center"/>
    </xf>
    <xf numFmtId="169" fontId="14" fillId="21" borderId="0" xfId="0" applyNumberFormat="1" applyFont="1" applyFill="1"/>
    <xf numFmtId="4" fontId="44" fillId="21" borderId="3" xfId="0" applyNumberFormat="1" applyFont="1" applyFill="1" applyBorder="1" applyAlignment="1">
      <alignment horizontal="right" vertical="center"/>
    </xf>
    <xf numFmtId="4" fontId="45" fillId="21" borderId="3" xfId="0" applyNumberFormat="1" applyFont="1" applyFill="1" applyBorder="1" applyAlignment="1">
      <alignment horizontal="right" vertical="center"/>
    </xf>
    <xf numFmtId="169" fontId="25" fillId="18" borderId="0" xfId="0" applyNumberFormat="1" applyFont="1" applyFill="1"/>
    <xf numFmtId="0" fontId="21" fillId="8" borderId="3" xfId="0" applyFont="1" applyFill="1" applyBorder="1" applyAlignment="1">
      <alignment horizontal="center" vertical="center" wrapText="1"/>
    </xf>
    <xf numFmtId="0" fontId="21" fillId="22" borderId="3" xfId="0" applyFont="1" applyFill="1" applyBorder="1" applyAlignment="1">
      <alignment horizontal="center" vertical="center" wrapText="1"/>
    </xf>
    <xf numFmtId="0" fontId="21" fillId="19" borderId="3" xfId="0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center" vertical="center" wrapText="1"/>
    </xf>
    <xf numFmtId="0" fontId="28" fillId="23" borderId="3" xfId="0" applyFont="1" applyFill="1" applyBorder="1" applyAlignment="1">
      <alignment horizontal="center" vertical="center" wrapText="1"/>
    </xf>
    <xf numFmtId="0" fontId="28" fillId="14" borderId="3" xfId="0" applyFont="1" applyFill="1" applyBorder="1" applyAlignment="1">
      <alignment horizontal="center" vertical="center" wrapText="1"/>
    </xf>
    <xf numFmtId="0" fontId="28" fillId="24" borderId="3" xfId="0" applyFont="1" applyFill="1" applyBorder="1" applyAlignment="1">
      <alignment horizontal="center" vertical="center" wrapText="1"/>
    </xf>
    <xf numFmtId="0" fontId="27" fillId="11" borderId="3" xfId="0" applyFont="1" applyFill="1" applyBorder="1" applyAlignment="1">
      <alignment horizontal="left" vertical="center" indent="1"/>
    </xf>
    <xf numFmtId="6" fontId="28" fillId="23" borderId="3" xfId="0" applyNumberFormat="1" applyFont="1" applyFill="1" applyBorder="1" applyAlignment="1">
      <alignment horizontal="center" vertical="center" wrapText="1"/>
    </xf>
    <xf numFmtId="6" fontId="28" fillId="14" borderId="3" xfId="0" applyNumberFormat="1" applyFont="1" applyFill="1" applyBorder="1" applyAlignment="1">
      <alignment horizontal="center" vertical="center" wrapText="1"/>
    </xf>
    <xf numFmtId="6" fontId="28" fillId="24" borderId="3" xfId="0" applyNumberFormat="1" applyFont="1" applyFill="1" applyBorder="1" applyAlignment="1">
      <alignment horizontal="center" vertical="center" wrapText="1"/>
    </xf>
    <xf numFmtId="9" fontId="28" fillId="23" borderId="3" xfId="0" applyNumberFormat="1" applyFont="1" applyFill="1" applyBorder="1" applyAlignment="1">
      <alignment horizontal="center" vertical="center" wrapText="1"/>
    </xf>
    <xf numFmtId="9" fontId="28" fillId="14" borderId="3" xfId="0" applyNumberFormat="1" applyFont="1" applyFill="1" applyBorder="1" applyAlignment="1">
      <alignment horizontal="center" vertical="center" wrapText="1"/>
    </xf>
    <xf numFmtId="0" fontId="28" fillId="24" borderId="0" xfId="0" applyFont="1" applyFill="1" applyAlignment="1">
      <alignment horizontal="center" vertical="center" wrapText="1"/>
    </xf>
    <xf numFmtId="0" fontId="14" fillId="13" borderId="3" xfId="0" applyFont="1" applyFill="1" applyBorder="1" applyAlignment="1">
      <alignment horizontal="left" vertical="center" indent="1"/>
    </xf>
    <xf numFmtId="0" fontId="2" fillId="25" borderId="5" xfId="0" applyFont="1" applyFill="1" applyBorder="1" applyAlignment="1">
      <alignment vertical="center" wrapText="1"/>
    </xf>
    <xf numFmtId="0" fontId="2" fillId="16" borderId="5" xfId="0" applyFont="1" applyFill="1" applyBorder="1" applyAlignment="1">
      <alignment vertical="center" wrapText="1"/>
    </xf>
    <xf numFmtId="0" fontId="2" fillId="26" borderId="0" xfId="0" applyFont="1" applyFill="1" applyAlignment="1">
      <alignment vertical="center" wrapText="1"/>
    </xf>
    <xf numFmtId="0" fontId="50" fillId="0" borderId="0" xfId="0" applyFont="1"/>
    <xf numFmtId="0" fontId="22" fillId="17" borderId="6" xfId="0" applyFont="1" applyFill="1" applyBorder="1" applyAlignment="1">
      <alignment horizontal="center" vertical="center" wrapText="1"/>
    </xf>
    <xf numFmtId="0" fontId="33" fillId="8" borderId="0" xfId="0" applyFont="1" applyFill="1" applyAlignment="1">
      <alignment horizontal="center" vertical="center" wrapText="1"/>
    </xf>
    <xf numFmtId="0" fontId="34" fillId="8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17" fillId="8" borderId="0" xfId="0" applyFont="1" applyFill="1" applyAlignment="1">
      <alignment horizontal="center" vertical="center" wrapText="1"/>
    </xf>
    <xf numFmtId="0" fontId="3" fillId="0" borderId="0" xfId="0" applyFont="1"/>
    <xf numFmtId="0" fontId="22" fillId="8" borderId="2" xfId="0" applyFont="1" applyFill="1" applyBorder="1" applyAlignment="1">
      <alignment horizontal="center" vertical="center" wrapText="1"/>
    </xf>
    <xf numFmtId="0" fontId="14" fillId="0" borderId="2" xfId="0" applyFont="1" applyBorder="1"/>
    <xf numFmtId="0" fontId="30" fillId="0" borderId="0" xfId="0" applyFont="1" applyAlignment="1">
      <alignment horizontal="center" vertical="center"/>
    </xf>
    <xf numFmtId="0" fontId="18" fillId="8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/>
    </xf>
    <xf numFmtId="0" fontId="22" fillId="1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1" fillId="16" borderId="0" xfId="0" applyFont="1" applyFill="1" applyAlignment="1">
      <alignment horizontal="center"/>
    </xf>
    <xf numFmtId="0" fontId="35" fillId="8" borderId="0" xfId="0" applyFont="1" applyFill="1" applyAlignment="1">
      <alignment horizontal="center" vertical="center" wrapText="1"/>
    </xf>
    <xf numFmtId="0" fontId="36" fillId="4" borderId="0" xfId="0" applyFont="1" applyFill="1" applyAlignment="1">
      <alignment horizontal="center" vertical="center" wrapText="1"/>
    </xf>
    <xf numFmtId="0" fontId="33" fillId="19" borderId="0" xfId="0" applyFont="1" applyFill="1" applyAlignment="1">
      <alignment horizontal="center" vertical="center" wrapText="1"/>
    </xf>
    <xf numFmtId="0" fontId="49" fillId="0" borderId="0" xfId="0" applyFont="1"/>
    <xf numFmtId="0" fontId="0" fillId="0" borderId="0" xfId="0"/>
    <xf numFmtId="0" fontId="51" fillId="8" borderId="0" xfId="0" applyFont="1" applyFill="1" applyAlignment="1">
      <alignment horizontal="center" vertical="center" wrapText="1"/>
    </xf>
    <xf numFmtId="0" fontId="52" fillId="8" borderId="0" xfId="0" applyFont="1" applyFill="1" applyAlignment="1">
      <alignment horizontal="center" vertical="center" wrapText="1"/>
    </xf>
    <xf numFmtId="0" fontId="53" fillId="17" borderId="2" xfId="0" applyFont="1" applyFill="1" applyBorder="1" applyAlignment="1">
      <alignment horizontal="center" vertical="center" wrapText="1"/>
    </xf>
    <xf numFmtId="0" fontId="54" fillId="8" borderId="0" xfId="0" applyFont="1" applyFill="1" applyAlignment="1">
      <alignment horizontal="center" vertical="center" wrapText="1"/>
    </xf>
    <xf numFmtId="9" fontId="53" fillId="9" borderId="3" xfId="0" applyNumberFormat="1" applyFont="1" applyFill="1" applyBorder="1" applyAlignment="1">
      <alignment horizontal="center" vertical="center" wrapText="1"/>
    </xf>
    <xf numFmtId="3" fontId="53" fillId="9" borderId="3" xfId="0" applyNumberFormat="1" applyFont="1" applyFill="1" applyBorder="1" applyAlignment="1">
      <alignment horizontal="center" vertical="center" wrapText="1"/>
    </xf>
    <xf numFmtId="0" fontId="55" fillId="8" borderId="0" xfId="0" applyFont="1" applyFill="1" applyAlignment="1">
      <alignment horizontal="center" vertical="center" wrapText="1"/>
    </xf>
    <xf numFmtId="9" fontId="22" fillId="9" borderId="3" xfId="0" applyNumberFormat="1" applyFont="1" applyFill="1" applyBorder="1" applyAlignment="1">
      <alignment horizontal="center" vertical="center" wrapText="1"/>
    </xf>
    <xf numFmtId="3" fontId="22" fillId="9" borderId="3" xfId="0" applyNumberFormat="1" applyFont="1" applyFill="1" applyBorder="1" applyAlignment="1">
      <alignment horizontal="center" vertical="center" wrapText="1"/>
    </xf>
    <xf numFmtId="170" fontId="2" fillId="0" borderId="0" xfId="0" applyNumberFormat="1" applyFont="1"/>
    <xf numFmtId="1" fontId="2" fillId="0" borderId="0" xfId="0" applyNumberFormat="1" applyFont="1"/>
    <xf numFmtId="0" fontId="56" fillId="17" borderId="2" xfId="0" applyFont="1" applyFill="1" applyBorder="1" applyAlignment="1">
      <alignment horizontal="center" vertical="center" wrapText="1"/>
    </xf>
    <xf numFmtId="0" fontId="57" fillId="0" borderId="2" xfId="0" applyFont="1" applyBorder="1"/>
    <xf numFmtId="0" fontId="62" fillId="27" borderId="0" xfId="0" applyFont="1" applyFill="1" applyAlignment="1">
      <alignment horizontal="center" vertical="center" wrapText="1"/>
    </xf>
    <xf numFmtId="0" fontId="62" fillId="28" borderId="0" xfId="0" applyFont="1" applyFill="1" applyAlignment="1">
      <alignment horizontal="center" vertical="center" wrapText="1"/>
    </xf>
    <xf numFmtId="0" fontId="62" fillId="29" borderId="0" xfId="0" applyFont="1" applyFill="1" applyAlignment="1">
      <alignment horizontal="center" vertical="center" wrapText="1"/>
    </xf>
    <xf numFmtId="0" fontId="62" fillId="30" borderId="0" xfId="0" applyFont="1" applyFill="1" applyAlignment="1">
      <alignment horizontal="center" vertical="center" wrapText="1"/>
    </xf>
    <xf numFmtId="0" fontId="63" fillId="0" borderId="7" xfId="0" applyFont="1" applyBorder="1" applyAlignment="1">
      <alignment horizontal="left" vertical="center" wrapText="1"/>
    </xf>
    <xf numFmtId="0" fontId="64" fillId="0" borderId="7" xfId="0" applyFont="1" applyBorder="1" applyAlignment="1">
      <alignment horizontal="center" vertical="center" wrapText="1"/>
    </xf>
    <xf numFmtId="0" fontId="63" fillId="31" borderId="7" xfId="0" applyFont="1" applyFill="1" applyBorder="1" applyAlignment="1">
      <alignment horizontal="left" vertical="center" wrapText="1"/>
    </xf>
    <xf numFmtId="0" fontId="64" fillId="31" borderId="7" xfId="0" applyFont="1" applyFill="1" applyBorder="1" applyAlignment="1">
      <alignment horizontal="center" vertical="center" wrapText="1"/>
    </xf>
    <xf numFmtId="0" fontId="0" fillId="0" borderId="0" xfId="0" applyAlignment="1"/>
    <xf numFmtId="0" fontId="61" fillId="32" borderId="0" xfId="0" applyFont="1" applyFill="1" applyAlignment="1">
      <alignment horizontal="center" vertical="center" wrapText="1"/>
    </xf>
    <xf numFmtId="6" fontId="64" fillId="0" borderId="7" xfId="0" applyNumberFormat="1" applyFont="1" applyBorder="1" applyAlignment="1">
      <alignment horizontal="center" vertical="center" wrapText="1"/>
    </xf>
    <xf numFmtId="0" fontId="63" fillId="5" borderId="7" xfId="0" applyFont="1" applyFill="1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 wrapText="1"/>
    </xf>
    <xf numFmtId="0" fontId="63" fillId="0" borderId="7" xfId="0" applyFont="1" applyFill="1" applyBorder="1" applyAlignment="1">
      <alignment horizontal="left" vertical="center" wrapText="1"/>
    </xf>
    <xf numFmtId="0" fontId="64" fillId="0" borderId="7" xfId="0" applyFont="1" applyFill="1" applyBorder="1" applyAlignment="1">
      <alignment horizontal="center" vertical="center" wrapText="1"/>
    </xf>
    <xf numFmtId="0" fontId="67" fillId="0" borderId="0" xfId="0" applyFont="1"/>
    <xf numFmtId="0" fontId="0" fillId="0" borderId="0" xfId="0" applyFill="1"/>
    <xf numFmtId="0" fontId="0" fillId="0" borderId="0" xfId="0" applyFill="1" applyBorder="1" applyAlignment="1"/>
    <xf numFmtId="0" fontId="64" fillId="0" borderId="8" xfId="0" applyFont="1" applyBorder="1" applyAlignment="1">
      <alignment horizontal="center" vertical="center" wrapText="1"/>
    </xf>
    <xf numFmtId="0" fontId="64" fillId="31" borderId="8" xfId="0" applyFont="1" applyFill="1" applyBorder="1" applyAlignment="1">
      <alignment horizontal="center" vertical="center" wrapText="1"/>
    </xf>
    <xf numFmtId="0" fontId="64" fillId="5" borderId="8" xfId="0" quotePrefix="1" applyFont="1" applyFill="1" applyBorder="1" applyAlignment="1">
      <alignment horizontal="center" vertical="center" wrapText="1"/>
    </xf>
    <xf numFmtId="0" fontId="64" fillId="0" borderId="9" xfId="0" applyFont="1" applyFill="1" applyBorder="1" applyAlignment="1">
      <alignment horizontal="center" vertical="center" wrapText="1"/>
    </xf>
    <xf numFmtId="0" fontId="63" fillId="0" borderId="0" xfId="0" applyFont="1" applyFill="1" applyBorder="1" applyAlignment="1">
      <alignment horizontal="left" vertical="center" wrapText="1"/>
    </xf>
    <xf numFmtId="0" fontId="64" fillId="0" borderId="0" xfId="0" applyFont="1" applyFill="1" applyBorder="1" applyAlignment="1">
      <alignment horizontal="center" vertical="center" wrapText="1"/>
    </xf>
    <xf numFmtId="0" fontId="0" fillId="0" borderId="0" xfId="0" applyFill="1" applyBorder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E6B3C"/>
      <color rgb="FFF0F0F0"/>
      <color rgb="FFF5F7FA"/>
      <color rgb="FFFFFDE7"/>
      <color rgb="FFD6E4F7"/>
      <color rgb="FFC0392B"/>
      <color rgb="FF0B1F3A"/>
      <color rgb="FF005F73"/>
      <color rgb="FF069494"/>
      <color rgb="FF1F38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Contribution Margin Trajectory (₹ Cr)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 P&amp;L Model'!$C$30:$O$30</c:f>
              <c:numCache>
                <c:formatCode>#,##0.00</c:formatCode>
                <c:ptCount val="13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0.56000000000000005</c:v>
                </c:pt>
                <c:pt idx="4">
                  <c:v>0.79</c:v>
                </c:pt>
                <c:pt idx="5">
                  <c:v>1.2</c:v>
                </c:pt>
                <c:pt idx="6">
                  <c:v>1.51</c:v>
                </c:pt>
                <c:pt idx="7">
                  <c:v>1.78</c:v>
                </c:pt>
                <c:pt idx="8">
                  <c:v>2.0099999999999998</c:v>
                </c:pt>
                <c:pt idx="9">
                  <c:v>2.19</c:v>
                </c:pt>
                <c:pt idx="10">
                  <c:v>2.29</c:v>
                </c:pt>
                <c:pt idx="11">
                  <c:v>2.35</c:v>
                </c:pt>
                <c:pt idx="12">
                  <c:v>2.42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8-4665-A3B9-E22F06CAC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1235551"/>
        <c:axId val="1065409087"/>
      </c:lineChart>
      <c:catAx>
        <c:axId val="981235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409087"/>
        <c:crosses val="autoZero"/>
        <c:auto val="1"/>
        <c:lblAlgn val="ctr"/>
        <c:lblOffset val="100"/>
        <c:noMultiLvlLbl val="0"/>
      </c:catAx>
      <c:valAx>
        <c:axId val="106540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3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effectLst/>
              </a:rPr>
              <a:t>Option Comparison (Normalized)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Scenario Comparison'!$C$33</c:f>
              <c:strCache>
                <c:ptCount val="1"/>
                <c:pt idx="0">
                  <c:v>Option 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Scenario Comparison'!$B$34:$B$38</c:f>
              <c:strCache>
                <c:ptCount val="5"/>
                <c:pt idx="0">
                  <c:v>ARPU (₹00s)</c:v>
                </c:pt>
                <c:pt idx="1">
                  <c:v>Gross Margin %</c:v>
                </c:pt>
                <c:pt idx="2">
                  <c:v>Retention %</c:v>
                </c:pt>
                <c:pt idx="3">
                  <c:v>LTV/CAC (×10)</c:v>
                </c:pt>
                <c:pt idx="4">
                  <c:v>CapEx (₹ Lakh×10)</c:v>
                </c:pt>
              </c:strCache>
            </c:strRef>
          </c:cat>
          <c:val>
            <c:numRef>
              <c:f>' Scenario Comparison'!$C$34:$C$38</c:f>
              <c:numCache>
                <c:formatCode>General</c:formatCode>
                <c:ptCount val="5"/>
                <c:pt idx="0">
                  <c:v>55</c:v>
                </c:pt>
                <c:pt idx="1">
                  <c:v>48</c:v>
                </c:pt>
                <c:pt idx="2">
                  <c:v>65</c:v>
                </c:pt>
                <c:pt idx="3">
                  <c:v>35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9-40EA-98C7-43FE44424F06}"/>
            </c:ext>
          </c:extLst>
        </c:ser>
        <c:ser>
          <c:idx val="1"/>
          <c:order val="1"/>
          <c:tx>
            <c:strRef>
              <c:f>' Scenario Comparison'!$D$33</c:f>
              <c:strCache>
                <c:ptCount val="1"/>
                <c:pt idx="0">
                  <c:v>Option 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2"/>
              <c:layout>
                <c:manualLayout>
                  <c:x val="1.111111111111111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19-40EA-98C7-43FE44424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Scenario Comparison'!$B$34:$B$38</c:f>
              <c:strCache>
                <c:ptCount val="5"/>
                <c:pt idx="0">
                  <c:v>ARPU (₹00s)</c:v>
                </c:pt>
                <c:pt idx="1">
                  <c:v>Gross Margin %</c:v>
                </c:pt>
                <c:pt idx="2">
                  <c:v>Retention %</c:v>
                </c:pt>
                <c:pt idx="3">
                  <c:v>LTV/CAC (×10)</c:v>
                </c:pt>
                <c:pt idx="4">
                  <c:v>CapEx (₹ Lakh×10)</c:v>
                </c:pt>
              </c:strCache>
            </c:strRef>
          </c:cat>
          <c:val>
            <c:numRef>
              <c:f>' Scenario Comparison'!$D$34:$D$38</c:f>
              <c:numCache>
                <c:formatCode>General</c:formatCode>
                <c:ptCount val="5"/>
                <c:pt idx="0">
                  <c:v>48</c:v>
                </c:pt>
                <c:pt idx="1">
                  <c:v>52</c:v>
                </c:pt>
                <c:pt idx="2">
                  <c:v>55</c:v>
                </c:pt>
                <c:pt idx="3">
                  <c:v>32</c:v>
                </c:pt>
                <c:pt idx="4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9-40EA-98C7-43FE44424F06}"/>
            </c:ext>
          </c:extLst>
        </c:ser>
        <c:ser>
          <c:idx val="2"/>
          <c:order val="2"/>
          <c:tx>
            <c:strRef>
              <c:f>' Scenario Comparison'!$E$33</c:f>
              <c:strCache>
                <c:ptCount val="1"/>
                <c:pt idx="0">
                  <c:v>Option 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dLbl>
              <c:idx val="2"/>
              <c:layout>
                <c:manualLayout>
                  <c:x val="8.3333333333332309E-3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19-40EA-98C7-43FE44424F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 Scenario Comparison'!$B$34:$B$38</c:f>
              <c:strCache>
                <c:ptCount val="5"/>
                <c:pt idx="0">
                  <c:v>ARPU (₹00s)</c:v>
                </c:pt>
                <c:pt idx="1">
                  <c:v>Gross Margin %</c:v>
                </c:pt>
                <c:pt idx="2">
                  <c:v>Retention %</c:v>
                </c:pt>
                <c:pt idx="3">
                  <c:v>LTV/CAC (×10)</c:v>
                </c:pt>
                <c:pt idx="4">
                  <c:v>CapEx (₹ Lakh×10)</c:v>
                </c:pt>
              </c:strCache>
            </c:strRef>
          </c:cat>
          <c:val>
            <c:numRef>
              <c:f>' Scenario Comparison'!$E$34:$E$38</c:f>
              <c:numCache>
                <c:formatCode>General</c:formatCode>
                <c:ptCount val="5"/>
                <c:pt idx="0">
                  <c:v>28</c:v>
                </c:pt>
                <c:pt idx="1">
                  <c:v>62</c:v>
                </c:pt>
                <c:pt idx="2">
                  <c:v>35</c:v>
                </c:pt>
                <c:pt idx="3">
                  <c:v>14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19-40EA-98C7-43FE44424F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63328863"/>
        <c:axId val="263326943"/>
        <c:axId val="0"/>
      </c:bar3DChart>
      <c:catAx>
        <c:axId val="26332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26943"/>
        <c:crosses val="autoZero"/>
        <c:auto val="1"/>
        <c:lblAlgn val="ctr"/>
        <c:lblOffset val="100"/>
        <c:noMultiLvlLbl val="0"/>
      </c:catAx>
      <c:valAx>
        <c:axId val="26332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2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729137</xdr:colOff>
      <xdr:row>33</xdr:row>
      <xdr:rowOff>155733</xdr:rowOff>
    </xdr:from>
    <xdr:to>
      <xdr:col>9</xdr:col>
      <xdr:colOff>579596</xdr:colOff>
      <xdr:row>49</xdr:row>
      <xdr:rowOff>12382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01303-0163-451E-6309-70DADCF15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1310640</xdr:colOff>
      <xdr:row>39</xdr:row>
      <xdr:rowOff>45720</xdr:rowOff>
    </xdr:from>
    <xdr:to>
      <xdr:col>5</xdr:col>
      <xdr:colOff>411480</xdr:colOff>
      <xdr:row>54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64377-3476-D4A1-ADF3-5E78FA9B82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A1:K16"/>
  <sheetViews>
    <sheetView zoomScale="104" workbookViewId="0">
      <selection activeCell="D10" sqref="D10"/>
    </sheetView>
  </sheetViews>
  <sheetFormatPr defaultRowHeight="14.4" x14ac:dyDescent="0.3"/>
  <cols>
    <col min="2" max="2" width="27.6640625" customWidth="1"/>
    <col min="3" max="3" width="33.77734375" bestFit="1" customWidth="1"/>
    <col min="4" max="4" width="23.77734375" bestFit="1" customWidth="1"/>
    <col min="5" max="5" width="8.88671875" customWidth="1"/>
  </cols>
  <sheetData>
    <row r="1" spans="1:11" x14ac:dyDescent="0.3">
      <c r="A1" s="1"/>
    </row>
    <row r="2" spans="1:11" ht="23.4" x14ac:dyDescent="0.45">
      <c r="B2" s="137" t="s">
        <v>0</v>
      </c>
      <c r="C2" s="137"/>
      <c r="D2" s="137"/>
      <c r="E2" s="11"/>
      <c r="F2" s="11"/>
      <c r="G2" s="11"/>
      <c r="H2" s="11"/>
      <c r="I2" s="11"/>
      <c r="J2" s="11"/>
      <c r="K2" s="11"/>
    </row>
    <row r="3" spans="1:11" ht="23.4" x14ac:dyDescent="0.45">
      <c r="B3" s="5" t="s">
        <v>1</v>
      </c>
      <c r="C3" s="5"/>
      <c r="D3" s="5"/>
      <c r="E3" s="12"/>
      <c r="F3" s="12"/>
      <c r="G3" s="12"/>
      <c r="H3" s="12"/>
      <c r="I3" s="12"/>
      <c r="J3" s="12"/>
      <c r="K3" s="11"/>
    </row>
    <row r="5" spans="1:11" x14ac:dyDescent="0.3">
      <c r="B5" s="2" t="s">
        <v>2</v>
      </c>
      <c r="C5" s="3" t="s">
        <v>3</v>
      </c>
      <c r="D5" s="4" t="s">
        <v>4</v>
      </c>
    </row>
    <row r="7" spans="1:11" ht="15" thickBot="1" x14ac:dyDescent="0.35">
      <c r="B7" s="6" t="s">
        <v>5</v>
      </c>
      <c r="C7" s="6" t="s">
        <v>6</v>
      </c>
      <c r="D7" s="6" t="s">
        <v>7</v>
      </c>
    </row>
    <row r="8" spans="1:11" ht="16.8" customHeight="1" thickBot="1" x14ac:dyDescent="0.35">
      <c r="B8" s="10" t="s">
        <v>8</v>
      </c>
      <c r="C8" s="9" t="s">
        <v>9</v>
      </c>
      <c r="D8" s="10" t="s">
        <v>10</v>
      </c>
    </row>
    <row r="9" spans="1:11" ht="28.2" thickBot="1" x14ac:dyDescent="0.35">
      <c r="B9" s="10" t="s">
        <v>11</v>
      </c>
      <c r="C9" s="9" t="s">
        <v>12</v>
      </c>
      <c r="D9" s="10" t="s">
        <v>331</v>
      </c>
    </row>
    <row r="10" spans="1:11" ht="28.2" thickBot="1" x14ac:dyDescent="0.35">
      <c r="B10" s="10" t="s">
        <v>13</v>
      </c>
      <c r="C10" s="9" t="s">
        <v>14</v>
      </c>
      <c r="D10" s="10" t="s">
        <v>15</v>
      </c>
    </row>
    <row r="11" spans="1:11" ht="15" thickBot="1" x14ac:dyDescent="0.35">
      <c r="B11" s="10" t="s">
        <v>16</v>
      </c>
      <c r="C11" s="9" t="s">
        <v>17</v>
      </c>
      <c r="D11" s="10" t="s">
        <v>18</v>
      </c>
    </row>
    <row r="12" spans="1:11" ht="15" thickBot="1" x14ac:dyDescent="0.35">
      <c r="B12" s="10" t="s">
        <v>19</v>
      </c>
      <c r="C12" s="9" t="s">
        <v>20</v>
      </c>
      <c r="D12" s="10" t="s">
        <v>21</v>
      </c>
    </row>
    <row r="13" spans="1:11" ht="17.399999999999999" customHeight="1" thickBot="1" x14ac:dyDescent="0.35">
      <c r="B13" s="10" t="s">
        <v>22</v>
      </c>
      <c r="C13" s="9" t="s">
        <v>23</v>
      </c>
      <c r="D13" s="10" t="s">
        <v>24</v>
      </c>
    </row>
    <row r="15" spans="1:11" ht="42" customHeight="1" x14ac:dyDescent="0.3">
      <c r="B15" s="138" t="s">
        <v>25</v>
      </c>
      <c r="C15" s="139"/>
      <c r="D15" s="139"/>
    </row>
    <row r="16" spans="1:11" x14ac:dyDescent="0.3">
      <c r="E16" s="13"/>
      <c r="F16" s="13"/>
    </row>
  </sheetData>
  <mergeCells count="2">
    <mergeCell ref="B2:D2"/>
    <mergeCell ref="B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97B0-8E51-431D-8175-4D8ECCFF99BF}">
  <sheetPr>
    <tabColor theme="8" tint="0.39997558519241921"/>
  </sheetPr>
  <dimension ref="A2:H52"/>
  <sheetViews>
    <sheetView topLeftCell="A30" zoomScale="107" zoomScaleNormal="86" workbookViewId="0">
      <selection activeCell="E22" sqref="E22"/>
    </sheetView>
  </sheetViews>
  <sheetFormatPr defaultRowHeight="14.4" x14ac:dyDescent="0.3"/>
  <cols>
    <col min="2" max="2" width="28.44140625" bestFit="1" customWidth="1"/>
    <col min="3" max="3" width="28.6640625" bestFit="1" customWidth="1"/>
    <col min="4" max="4" width="22.6640625" bestFit="1" customWidth="1"/>
    <col min="5" max="5" width="32.77734375" bestFit="1" customWidth="1"/>
    <col min="6" max="6" width="30.109375" customWidth="1"/>
  </cols>
  <sheetData>
    <row r="2" spans="1:6" ht="32.4" customHeight="1" x14ac:dyDescent="0.3">
      <c r="B2" s="143" t="s">
        <v>26</v>
      </c>
      <c r="C2" s="143"/>
      <c r="D2" s="143"/>
    </row>
    <row r="3" spans="1:6" ht="14.4" customHeight="1" x14ac:dyDescent="0.3">
      <c r="B3" s="144" t="s">
        <v>27</v>
      </c>
      <c r="C3" s="144"/>
      <c r="D3" s="144"/>
    </row>
    <row r="5" spans="1:6" x14ac:dyDescent="0.3">
      <c r="B5" s="145" t="s">
        <v>28</v>
      </c>
      <c r="C5" s="145"/>
      <c r="D5" s="145"/>
      <c r="E5" s="14"/>
      <c r="F5" s="14"/>
    </row>
    <row r="7" spans="1:6" x14ac:dyDescent="0.3">
      <c r="B7" s="16" t="s">
        <v>2</v>
      </c>
      <c r="C7" s="17" t="s">
        <v>3</v>
      </c>
      <c r="D7" s="18" t="s">
        <v>4</v>
      </c>
    </row>
    <row r="9" spans="1:6" ht="15" customHeight="1" thickBot="1" x14ac:dyDescent="0.35">
      <c r="B9" s="140" t="s">
        <v>29</v>
      </c>
      <c r="C9" s="140"/>
      <c r="D9" s="140"/>
      <c r="E9" s="140"/>
      <c r="F9" s="22"/>
    </row>
    <row r="10" spans="1:6" ht="15" thickBot="1" x14ac:dyDescent="0.35">
      <c r="B10" s="15" t="s">
        <v>30</v>
      </c>
      <c r="C10" s="15" t="s">
        <v>31</v>
      </c>
      <c r="D10" s="15" t="s">
        <v>32</v>
      </c>
      <c r="E10" s="15" t="s">
        <v>33</v>
      </c>
      <c r="F10" s="22"/>
    </row>
    <row r="11" spans="1:6" ht="15" thickBot="1" x14ac:dyDescent="0.35">
      <c r="A11" s="19"/>
      <c r="B11" s="19" t="s">
        <v>34</v>
      </c>
      <c r="C11" s="19" t="s">
        <v>35</v>
      </c>
      <c r="D11" s="19" t="s">
        <v>36</v>
      </c>
      <c r="E11" s="19" t="s">
        <v>37</v>
      </c>
      <c r="F11" s="22"/>
    </row>
    <row r="12" spans="1:6" ht="15" thickBot="1" x14ac:dyDescent="0.35">
      <c r="A12" s="9"/>
      <c r="B12" s="28" t="s">
        <v>38</v>
      </c>
      <c r="C12" s="23">
        <v>32000000</v>
      </c>
      <c r="D12" s="24" t="s">
        <v>39</v>
      </c>
      <c r="E12" s="25" t="s">
        <v>40</v>
      </c>
      <c r="F12" s="22"/>
    </row>
    <row r="13" spans="1:6" ht="15" thickBot="1" x14ac:dyDescent="0.35">
      <c r="A13" s="9"/>
      <c r="B13" s="29" t="s">
        <v>41</v>
      </c>
      <c r="C13" s="23">
        <v>6</v>
      </c>
      <c r="D13" s="24" t="s">
        <v>42</v>
      </c>
      <c r="E13" s="25" t="s">
        <v>43</v>
      </c>
      <c r="F13" s="22"/>
    </row>
    <row r="14" spans="1:6" ht="15" thickBot="1" x14ac:dyDescent="0.35">
      <c r="A14" s="9"/>
      <c r="B14" s="28" t="s">
        <v>44</v>
      </c>
      <c r="C14" s="23">
        <v>2400</v>
      </c>
      <c r="D14" s="24" t="s">
        <v>45</v>
      </c>
      <c r="E14" s="25" t="s">
        <v>40</v>
      </c>
      <c r="F14" s="22"/>
    </row>
    <row r="15" spans="1:6" ht="15" thickBot="1" x14ac:dyDescent="0.35">
      <c r="A15" s="9"/>
      <c r="B15" s="29" t="s">
        <v>46</v>
      </c>
      <c r="C15" s="23">
        <v>4200</v>
      </c>
      <c r="D15" s="24" t="s">
        <v>47</v>
      </c>
      <c r="E15" s="25" t="s">
        <v>40</v>
      </c>
      <c r="F15" s="26"/>
    </row>
    <row r="16" spans="1:6" ht="17.399999999999999" customHeight="1" thickBot="1" x14ac:dyDescent="0.35">
      <c r="A16" s="9"/>
      <c r="B16" s="28" t="s">
        <v>48</v>
      </c>
      <c r="C16" s="23">
        <v>18000</v>
      </c>
      <c r="D16" s="24" t="s">
        <v>49</v>
      </c>
      <c r="E16" s="25" t="s">
        <v>50</v>
      </c>
      <c r="F16" s="22"/>
    </row>
    <row r="17" spans="1:8" ht="15" thickBot="1" x14ac:dyDescent="0.35">
      <c r="A17" s="9"/>
      <c r="B17" s="29" t="s">
        <v>51</v>
      </c>
      <c r="C17" s="27">
        <v>0.42</v>
      </c>
      <c r="D17" s="24" t="s">
        <v>52</v>
      </c>
      <c r="E17" s="25" t="s">
        <v>40</v>
      </c>
      <c r="F17" s="22"/>
    </row>
    <row r="18" spans="1:8" ht="15" thickBot="1" x14ac:dyDescent="0.35">
      <c r="A18" s="9"/>
      <c r="B18" s="28" t="s">
        <v>53</v>
      </c>
      <c r="C18" s="27">
        <v>0.38</v>
      </c>
      <c r="D18" s="24" t="s">
        <v>54</v>
      </c>
      <c r="E18" s="25" t="s">
        <v>55</v>
      </c>
      <c r="F18" s="22"/>
    </row>
    <row r="19" spans="1:8" ht="15" thickBot="1" x14ac:dyDescent="0.35">
      <c r="A19" s="9"/>
      <c r="B19" s="29" t="s">
        <v>56</v>
      </c>
      <c r="C19" s="40">
        <v>4.2</v>
      </c>
      <c r="D19" s="24" t="s">
        <v>42</v>
      </c>
      <c r="E19" s="25" t="s">
        <v>57</v>
      </c>
      <c r="F19" s="22"/>
    </row>
    <row r="20" spans="1:8" ht="15" thickBot="1" x14ac:dyDescent="0.35">
      <c r="A20" s="9"/>
      <c r="B20" s="28" t="s">
        <v>58</v>
      </c>
      <c r="C20" s="23">
        <f>C15*C18*C19</f>
        <v>6703.2000000000007</v>
      </c>
      <c r="D20" s="24" t="s">
        <v>59</v>
      </c>
      <c r="E20" s="25" t="s">
        <v>130</v>
      </c>
      <c r="F20" s="22"/>
    </row>
    <row r="21" spans="1:8" ht="15" thickBot="1" x14ac:dyDescent="0.35">
      <c r="A21" s="9"/>
      <c r="B21" s="29" t="s">
        <v>61</v>
      </c>
      <c r="C21" s="23">
        <f>C20-C16</f>
        <v>-11296.8</v>
      </c>
      <c r="D21" s="24" t="s">
        <v>59</v>
      </c>
      <c r="E21" s="25" t="s">
        <v>330</v>
      </c>
      <c r="F21" s="22"/>
    </row>
    <row r="22" spans="1:8" ht="15" thickBot="1" x14ac:dyDescent="0.35">
      <c r="A22" s="9"/>
      <c r="B22" s="28" t="s">
        <v>62</v>
      </c>
      <c r="C22" s="39">
        <f>C20/C16</f>
        <v>0.37240000000000006</v>
      </c>
      <c r="D22" s="24" t="s">
        <v>63</v>
      </c>
      <c r="E22" s="25" t="s">
        <v>64</v>
      </c>
      <c r="F22" s="25"/>
    </row>
    <row r="23" spans="1:8" x14ac:dyDescent="0.3">
      <c r="B23" s="22"/>
      <c r="C23" s="22"/>
      <c r="D23" s="22"/>
      <c r="E23" s="22"/>
      <c r="F23" s="22"/>
    </row>
    <row r="24" spans="1:8" ht="15" customHeight="1" thickBot="1" x14ac:dyDescent="0.35">
      <c r="B24" s="140" t="s">
        <v>65</v>
      </c>
      <c r="C24" s="141"/>
      <c r="D24" s="141"/>
      <c r="E24" s="141"/>
    </row>
    <row r="25" spans="1:8" ht="15" thickBot="1" x14ac:dyDescent="0.35">
      <c r="B25" s="15" t="s">
        <v>30</v>
      </c>
      <c r="C25" s="15" t="s">
        <v>31</v>
      </c>
      <c r="D25" s="15" t="s">
        <v>32</v>
      </c>
      <c r="E25" s="15" t="s">
        <v>33</v>
      </c>
      <c r="H25" s="20"/>
    </row>
    <row r="26" spans="1:8" ht="15" thickBot="1" x14ac:dyDescent="0.35">
      <c r="A26" s="7"/>
      <c r="B26" s="19" t="s">
        <v>66</v>
      </c>
      <c r="C26" s="19" t="s">
        <v>67</v>
      </c>
      <c r="D26" s="19" t="s">
        <v>32</v>
      </c>
      <c r="E26" s="19" t="s">
        <v>68</v>
      </c>
    </row>
    <row r="27" spans="1:8" ht="15" thickBot="1" x14ac:dyDescent="0.35">
      <c r="A27" s="8"/>
      <c r="B27" s="28" t="s">
        <v>69</v>
      </c>
      <c r="C27" s="23">
        <v>4800</v>
      </c>
      <c r="D27" s="24" t="s">
        <v>39</v>
      </c>
      <c r="E27" s="25" t="s">
        <v>70</v>
      </c>
    </row>
    <row r="28" spans="1:8" ht="15" thickBot="1" x14ac:dyDescent="0.35">
      <c r="A28" s="8"/>
      <c r="B28" s="29" t="s">
        <v>71</v>
      </c>
      <c r="C28" s="23">
        <v>10800</v>
      </c>
      <c r="D28" s="24" t="s">
        <v>72</v>
      </c>
      <c r="E28" s="25" t="s">
        <v>73</v>
      </c>
    </row>
    <row r="29" spans="1:8" ht="15" thickBot="1" x14ac:dyDescent="0.35">
      <c r="A29" s="8"/>
      <c r="B29" s="28" t="s">
        <v>74</v>
      </c>
      <c r="C29" s="38">
        <v>0.55000000000000004</v>
      </c>
      <c r="D29" s="24" t="s">
        <v>75</v>
      </c>
      <c r="E29" s="25" t="s">
        <v>76</v>
      </c>
    </row>
    <row r="30" spans="1:8" ht="15" thickBot="1" x14ac:dyDescent="0.35">
      <c r="A30" s="8"/>
      <c r="B30" s="29" t="s">
        <v>77</v>
      </c>
      <c r="C30" s="38">
        <v>0.52</v>
      </c>
      <c r="D30" s="24" t="s">
        <v>78</v>
      </c>
      <c r="E30" s="25" t="s">
        <v>79</v>
      </c>
    </row>
    <row r="31" spans="1:8" ht="17.399999999999999" customHeight="1" thickBot="1" x14ac:dyDescent="0.35">
      <c r="A31" s="8"/>
      <c r="B31" s="28" t="s">
        <v>80</v>
      </c>
      <c r="C31" s="38">
        <v>0.15</v>
      </c>
      <c r="D31" s="24" t="s">
        <v>81</v>
      </c>
      <c r="E31" s="25" t="s">
        <v>82</v>
      </c>
    </row>
    <row r="32" spans="1:8" ht="15" thickBot="1" x14ac:dyDescent="0.35">
      <c r="A32" s="8"/>
      <c r="B32" s="29" t="s">
        <v>83</v>
      </c>
      <c r="C32" s="37">
        <v>8.5</v>
      </c>
      <c r="D32" s="24" t="s">
        <v>42</v>
      </c>
      <c r="E32" s="25" t="s">
        <v>84</v>
      </c>
    </row>
    <row r="33" spans="1:5" ht="15" thickBot="1" x14ac:dyDescent="0.35">
      <c r="A33" s="8"/>
      <c r="B33" s="28" t="s">
        <v>85</v>
      </c>
      <c r="C33" s="37">
        <f>C27*C30*C32</f>
        <v>21216</v>
      </c>
      <c r="D33" s="24" t="s">
        <v>59</v>
      </c>
      <c r="E33" s="25" t="s">
        <v>86</v>
      </c>
    </row>
    <row r="34" spans="1:5" ht="15" thickBot="1" x14ac:dyDescent="0.35">
      <c r="A34" s="8"/>
      <c r="B34" s="29" t="s">
        <v>87</v>
      </c>
      <c r="C34" s="39">
        <f>C33/C28</f>
        <v>1.9644444444444444</v>
      </c>
      <c r="D34" s="24" t="s">
        <v>63</v>
      </c>
      <c r="E34" s="25" t="s">
        <v>88</v>
      </c>
    </row>
    <row r="35" spans="1:5" ht="15" thickBot="1" x14ac:dyDescent="0.35">
      <c r="B35" s="9"/>
      <c r="C35" s="26"/>
      <c r="D35" s="24"/>
      <c r="E35" s="25"/>
    </row>
    <row r="36" spans="1:5" ht="15" thickBot="1" x14ac:dyDescent="0.35">
      <c r="B36" s="140" t="s">
        <v>89</v>
      </c>
      <c r="C36" s="141"/>
      <c r="D36" s="141"/>
      <c r="E36" s="141"/>
    </row>
    <row r="37" spans="1:5" ht="15" thickBot="1" x14ac:dyDescent="0.35">
      <c r="B37" s="15" t="s">
        <v>30</v>
      </c>
      <c r="C37" s="15" t="s">
        <v>31</v>
      </c>
      <c r="D37" s="15" t="s">
        <v>32</v>
      </c>
      <c r="E37" s="15" t="s">
        <v>33</v>
      </c>
    </row>
    <row r="38" spans="1:5" ht="15" thickBot="1" x14ac:dyDescent="0.35">
      <c r="A38" s="7"/>
      <c r="B38" s="19" t="s">
        <v>66</v>
      </c>
      <c r="C38" s="19" t="s">
        <v>67</v>
      </c>
      <c r="D38" s="19" t="s">
        <v>32</v>
      </c>
      <c r="E38" s="19" t="s">
        <v>68</v>
      </c>
    </row>
    <row r="39" spans="1:5" ht="15" thickBot="1" x14ac:dyDescent="0.35">
      <c r="A39" s="8"/>
      <c r="B39" s="28" t="s">
        <v>90</v>
      </c>
      <c r="C39" s="23">
        <v>5</v>
      </c>
      <c r="D39" s="24" t="s">
        <v>91</v>
      </c>
      <c r="E39" s="25" t="s">
        <v>92</v>
      </c>
    </row>
    <row r="40" spans="1:5" ht="15" thickBot="1" x14ac:dyDescent="0.35">
      <c r="A40" s="8"/>
      <c r="B40" s="29" t="s">
        <v>93</v>
      </c>
      <c r="C40" s="23">
        <v>80000</v>
      </c>
      <c r="D40" s="24" t="s">
        <v>59</v>
      </c>
      <c r="E40" s="25" t="s">
        <v>94</v>
      </c>
    </row>
    <row r="41" spans="1:5" ht="15" thickBot="1" x14ac:dyDescent="0.35">
      <c r="A41" s="8"/>
      <c r="B41" s="28" t="s">
        <v>95</v>
      </c>
      <c r="C41" s="23">
        <v>35000</v>
      </c>
      <c r="D41" s="24" t="s">
        <v>59</v>
      </c>
      <c r="E41" s="25" t="s">
        <v>96</v>
      </c>
    </row>
    <row r="42" spans="1:5" ht="15" thickBot="1" x14ac:dyDescent="0.35">
      <c r="A42" s="8"/>
      <c r="B42" s="29" t="s">
        <v>97</v>
      </c>
      <c r="C42" s="23">
        <v>500000</v>
      </c>
      <c r="D42" s="24" t="s">
        <v>98</v>
      </c>
      <c r="E42" s="25" t="s">
        <v>99</v>
      </c>
    </row>
    <row r="43" spans="1:5" ht="15" thickBot="1" x14ac:dyDescent="0.35">
      <c r="A43" s="8"/>
      <c r="B43" s="28" t="s">
        <v>100</v>
      </c>
      <c r="C43" s="23">
        <v>3200000</v>
      </c>
      <c r="D43" s="24" t="s">
        <v>39</v>
      </c>
      <c r="E43" s="25" t="s">
        <v>101</v>
      </c>
    </row>
    <row r="44" spans="1:5" x14ac:dyDescent="0.3">
      <c r="B44" s="30"/>
      <c r="C44" s="31"/>
      <c r="D44" s="24"/>
      <c r="E44" s="25"/>
    </row>
    <row r="45" spans="1:5" ht="15" customHeight="1" thickBot="1" x14ac:dyDescent="0.35">
      <c r="B45" s="140" t="s">
        <v>102</v>
      </c>
      <c r="C45" s="141"/>
      <c r="D45" s="141"/>
      <c r="E45" s="141"/>
    </row>
    <row r="46" spans="1:5" x14ac:dyDescent="0.3">
      <c r="B46" s="15" t="s">
        <v>103</v>
      </c>
      <c r="C46" s="15" t="s">
        <v>104</v>
      </c>
      <c r="D46" s="15" t="s">
        <v>105</v>
      </c>
      <c r="E46" s="15" t="s">
        <v>106</v>
      </c>
    </row>
    <row r="47" spans="1:5" x14ac:dyDescent="0.3">
      <c r="B47" s="21" t="s">
        <v>107</v>
      </c>
      <c r="C47" s="32">
        <v>0.75</v>
      </c>
      <c r="D47" s="32">
        <v>0.25</v>
      </c>
      <c r="E47" s="33">
        <v>22000</v>
      </c>
    </row>
    <row r="48" spans="1:5" x14ac:dyDescent="0.3">
      <c r="B48" s="34" t="s">
        <v>108</v>
      </c>
      <c r="C48" s="32">
        <v>0.15</v>
      </c>
      <c r="D48" s="32">
        <v>0.15</v>
      </c>
      <c r="E48" s="33">
        <v>15000</v>
      </c>
    </row>
    <row r="49" spans="2:5" ht="15" thickBot="1" x14ac:dyDescent="0.35">
      <c r="B49" s="21" t="s">
        <v>109</v>
      </c>
      <c r="C49" s="32">
        <v>0.1</v>
      </c>
      <c r="D49" s="32">
        <v>0.6</v>
      </c>
      <c r="E49" s="33">
        <v>3000</v>
      </c>
    </row>
    <row r="50" spans="2:5" x14ac:dyDescent="0.3">
      <c r="B50" s="35" t="s">
        <v>110</v>
      </c>
      <c r="C50" s="36">
        <f>C47*E47+C48*E48+C49*E49</f>
        <v>19050</v>
      </c>
      <c r="D50" s="36">
        <f>D47*E47+D48*E48+D49*E49</f>
        <v>9550</v>
      </c>
    </row>
    <row r="52" spans="2:5" x14ac:dyDescent="0.3">
      <c r="B52" s="142" t="s">
        <v>111</v>
      </c>
      <c r="C52" s="142"/>
      <c r="D52" s="142"/>
      <c r="E52" s="142"/>
    </row>
  </sheetData>
  <mergeCells count="8">
    <mergeCell ref="B2:D2"/>
    <mergeCell ref="B3:D3"/>
    <mergeCell ref="B5:D5"/>
    <mergeCell ref="B9:E9"/>
    <mergeCell ref="B24:E24"/>
    <mergeCell ref="B36:E36"/>
    <mergeCell ref="B45:E45"/>
    <mergeCell ref="B52:E5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2320-3FE4-4CC2-8C5D-048006E78145}">
  <sheetPr>
    <tabColor theme="9" tint="-0.249977111117893"/>
  </sheetPr>
  <dimension ref="A2:J31"/>
  <sheetViews>
    <sheetView tabSelected="1" workbookViewId="0">
      <selection activeCell="B6" sqref="B6"/>
    </sheetView>
  </sheetViews>
  <sheetFormatPr defaultRowHeight="14.4" x14ac:dyDescent="0.3"/>
  <cols>
    <col min="2" max="2" width="26.6640625" bestFit="1" customWidth="1"/>
    <col min="3" max="3" width="26.77734375" bestFit="1" customWidth="1"/>
    <col min="4" max="4" width="17.44140625" bestFit="1" customWidth="1"/>
    <col min="5" max="5" width="21.44140625" customWidth="1"/>
    <col min="6" max="6" width="14.5546875" customWidth="1"/>
    <col min="7" max="7" width="9.21875" customWidth="1"/>
  </cols>
  <sheetData>
    <row r="2" spans="1:10" ht="42.6" customHeight="1" x14ac:dyDescent="0.3">
      <c r="B2" s="143" t="s">
        <v>112</v>
      </c>
      <c r="C2" s="143"/>
      <c r="D2" s="143"/>
      <c r="E2" s="143"/>
      <c r="F2" s="143"/>
      <c r="G2" s="41"/>
      <c r="H2" s="41"/>
      <c r="I2" s="41"/>
      <c r="J2" s="41"/>
    </row>
    <row r="3" spans="1:10" ht="23.4" customHeight="1" x14ac:dyDescent="0.3">
      <c r="B3" s="149" t="s">
        <v>113</v>
      </c>
      <c r="C3" s="149"/>
      <c r="D3" s="149"/>
      <c r="E3" s="149"/>
      <c r="F3" s="149"/>
      <c r="G3" s="42"/>
      <c r="H3" s="42"/>
      <c r="I3" s="42"/>
      <c r="J3" s="42"/>
    </row>
    <row r="5" spans="1:10" ht="16.8" customHeight="1" x14ac:dyDescent="0.3">
      <c r="B5" s="150" t="s">
        <v>333</v>
      </c>
      <c r="C5" s="150"/>
      <c r="D5" s="150"/>
      <c r="E5" s="150"/>
      <c r="F5" s="150"/>
      <c r="G5" s="43"/>
      <c r="H5" s="43"/>
      <c r="I5" s="43"/>
      <c r="J5" s="43"/>
    </row>
    <row r="7" spans="1:10" ht="17.399999999999999" customHeight="1" x14ac:dyDescent="0.3">
      <c r="B7" s="15" t="s">
        <v>114</v>
      </c>
      <c r="C7" s="15" t="s">
        <v>115</v>
      </c>
      <c r="D7" s="44" t="s">
        <v>116</v>
      </c>
      <c r="E7" s="45" t="s">
        <v>117</v>
      </c>
      <c r="F7" s="75" t="s">
        <v>118</v>
      </c>
    </row>
    <row r="8" spans="1:10" ht="15" thickBot="1" x14ac:dyDescent="0.35">
      <c r="B8" s="146" t="s">
        <v>119</v>
      </c>
      <c r="C8" s="147"/>
      <c r="D8" s="147"/>
      <c r="E8" s="147"/>
      <c r="F8" s="147"/>
    </row>
    <row r="9" spans="1:10" ht="15" thickBot="1" x14ac:dyDescent="0.35">
      <c r="A9" s="47"/>
      <c r="B9" s="9" t="s">
        <v>120</v>
      </c>
      <c r="C9" s="9" t="s">
        <v>121</v>
      </c>
      <c r="D9" s="55">
        <f>Assumptions!C15</f>
        <v>4200</v>
      </c>
      <c r="E9" s="67">
        <f>Assumptions!C27</f>
        <v>4800</v>
      </c>
      <c r="F9" s="46">
        <f>E9-D9</f>
        <v>600</v>
      </c>
    </row>
    <row r="10" spans="1:10" ht="15" thickBot="1" x14ac:dyDescent="0.35">
      <c r="A10" s="8"/>
      <c r="B10" s="29" t="s">
        <v>122</v>
      </c>
      <c r="C10" s="29" t="s">
        <v>123</v>
      </c>
      <c r="D10" s="56">
        <f>Assumptions!C18</f>
        <v>0.38</v>
      </c>
      <c r="E10" s="68">
        <f>Assumptions!C30</f>
        <v>0.52</v>
      </c>
      <c r="F10" s="29">
        <f>E10-D10</f>
        <v>0.14000000000000001</v>
      </c>
    </row>
    <row r="11" spans="1:10" ht="15" thickBot="1" x14ac:dyDescent="0.35">
      <c r="A11" s="8"/>
      <c r="B11" s="9" t="s">
        <v>124</v>
      </c>
      <c r="C11" s="9" t="s">
        <v>125</v>
      </c>
      <c r="D11" s="55">
        <f>D9*D10</f>
        <v>1596</v>
      </c>
      <c r="E11" s="67">
        <f>E9*E10</f>
        <v>2496</v>
      </c>
      <c r="F11" s="46">
        <f t="shared" ref="F11:F13" si="0">E11-D11</f>
        <v>900</v>
      </c>
    </row>
    <row r="12" spans="1:10" ht="15" thickBot="1" x14ac:dyDescent="0.35">
      <c r="A12" s="8"/>
      <c r="B12" s="50" t="s">
        <v>51</v>
      </c>
      <c r="C12" s="29" t="s">
        <v>126</v>
      </c>
      <c r="D12" s="56">
        <f>Assumptions!C17</f>
        <v>0.42</v>
      </c>
      <c r="E12" s="68">
        <f>Assumptions!C29</f>
        <v>0.55000000000000004</v>
      </c>
      <c r="F12" s="29">
        <f t="shared" si="0"/>
        <v>0.13000000000000006</v>
      </c>
    </row>
    <row r="13" spans="1:10" ht="15" thickBot="1" x14ac:dyDescent="0.35">
      <c r="A13" s="8"/>
      <c r="B13" s="9" t="s">
        <v>127</v>
      </c>
      <c r="C13" s="9" t="s">
        <v>128</v>
      </c>
      <c r="D13" s="57">
        <f>Assumptions!C19</f>
        <v>4.2</v>
      </c>
      <c r="E13" s="69">
        <f>Assumptions!C32</f>
        <v>8.5</v>
      </c>
      <c r="F13" s="54">
        <f t="shared" si="0"/>
        <v>4.3</v>
      </c>
    </row>
    <row r="14" spans="1:10" ht="15" thickBot="1" x14ac:dyDescent="0.35">
      <c r="A14" s="8"/>
    </row>
    <row r="15" spans="1:10" ht="15" thickBot="1" x14ac:dyDescent="0.35">
      <c r="B15" s="146" t="s">
        <v>129</v>
      </c>
      <c r="C15" s="147"/>
      <c r="D15" s="147"/>
      <c r="E15" s="147"/>
      <c r="F15" s="147"/>
    </row>
    <row r="16" spans="1:10" ht="15" customHeight="1" thickBot="1" x14ac:dyDescent="0.35">
      <c r="B16" s="28" t="s">
        <v>48</v>
      </c>
      <c r="C16" s="48" t="s">
        <v>50</v>
      </c>
      <c r="D16" s="55">
        <f>Assumptions!C16</f>
        <v>18000</v>
      </c>
      <c r="E16" s="67">
        <f>Assumptions!C28</f>
        <v>10800</v>
      </c>
      <c r="F16" s="46">
        <f>E16-D16</f>
        <v>-7200</v>
      </c>
    </row>
    <row r="17" spans="2:9" ht="15" thickBot="1" x14ac:dyDescent="0.35">
      <c r="B17" s="29" t="s">
        <v>58</v>
      </c>
      <c r="C17" s="49" t="s">
        <v>60</v>
      </c>
      <c r="D17" s="58">
        <f>Assumptions!C20</f>
        <v>6703.2000000000007</v>
      </c>
      <c r="E17" s="70">
        <f>Assumptions!C33</f>
        <v>21216</v>
      </c>
      <c r="F17" s="51">
        <f>E17-D17</f>
        <v>14512.8</v>
      </c>
    </row>
    <row r="18" spans="2:9" ht="15" thickBot="1" x14ac:dyDescent="0.35">
      <c r="B18" s="30" t="s">
        <v>61</v>
      </c>
      <c r="C18" s="48" t="s">
        <v>131</v>
      </c>
      <c r="D18" s="46">
        <f>Assumptions!C21</f>
        <v>-11296.8</v>
      </c>
      <c r="E18" s="67">
        <f>Assumptions!C33-Assumptions!C28</f>
        <v>10416</v>
      </c>
      <c r="F18" s="46">
        <f>E18-D18</f>
        <v>21712.799999999999</v>
      </c>
      <c r="I18" s="46"/>
    </row>
    <row r="19" spans="2:9" ht="15" thickBot="1" x14ac:dyDescent="0.35">
      <c r="F19" s="46"/>
    </row>
    <row r="20" spans="2:9" ht="15" thickBot="1" x14ac:dyDescent="0.35">
      <c r="B20" s="146" t="s">
        <v>132</v>
      </c>
      <c r="C20" s="147"/>
      <c r="D20" s="147"/>
      <c r="E20" s="147"/>
      <c r="F20" s="147"/>
    </row>
    <row r="21" spans="2:9" ht="15" thickBot="1" x14ac:dyDescent="0.35">
      <c r="B21" s="28" t="s">
        <v>62</v>
      </c>
      <c r="C21" s="48" t="s">
        <v>133</v>
      </c>
      <c r="D21" s="59">
        <f>Assumptions!C22</f>
        <v>0.37240000000000006</v>
      </c>
      <c r="E21" s="71">
        <f>Assumptions!C34</f>
        <v>1.9644444444444444</v>
      </c>
      <c r="F21" s="66" t="s">
        <v>134</v>
      </c>
    </row>
    <row r="22" spans="2:9" x14ac:dyDescent="0.3">
      <c r="B22" s="52" t="s">
        <v>135</v>
      </c>
      <c r="C22" s="53" t="s">
        <v>136</v>
      </c>
      <c r="D22" s="60">
        <f>D16/(D9*D10)</f>
        <v>11.278195488721805</v>
      </c>
      <c r="E22" s="72">
        <f>E16/(E9*E10)</f>
        <v>4.3269230769230766</v>
      </c>
      <c r="F22" s="63">
        <f>E22-D22</f>
        <v>-6.9512724117987279</v>
      </c>
    </row>
    <row r="23" spans="2:9" x14ac:dyDescent="0.3">
      <c r="B23" t="s">
        <v>137</v>
      </c>
      <c r="C23" s="48" t="s">
        <v>138</v>
      </c>
      <c r="D23" s="61">
        <f>(D9*D10)-(Assumptions!C43/Assumptions!C14)</f>
        <v>262.66666666666674</v>
      </c>
      <c r="E23" s="73">
        <f>(E9*E10)-(Assumptions!C43/Assumptions!C14)</f>
        <v>1162.6666666666667</v>
      </c>
      <c r="F23" s="64">
        <f>E23-D23</f>
        <v>900</v>
      </c>
    </row>
    <row r="24" spans="2:9" x14ac:dyDescent="0.3">
      <c r="B24" s="52" t="s">
        <v>139</v>
      </c>
      <c r="C24" s="53" t="s">
        <v>140</v>
      </c>
      <c r="D24" s="62">
        <f>Assumptions!C43/D23</f>
        <v>12182.741116751266</v>
      </c>
      <c r="E24" s="74">
        <f>Assumptions!C43/E23</f>
        <v>2752.2935779816512</v>
      </c>
      <c r="F24" s="65">
        <f>D24-E24</f>
        <v>9430.4475387696148</v>
      </c>
    </row>
    <row r="26" spans="2:9" x14ac:dyDescent="0.3">
      <c r="B26" s="15" t="s">
        <v>141</v>
      </c>
      <c r="C26" s="44" t="s">
        <v>116</v>
      </c>
      <c r="D26" s="45" t="s">
        <v>117</v>
      </c>
    </row>
    <row r="27" spans="2:9" x14ac:dyDescent="0.3">
      <c r="C27" t="str">
        <f>"LTV/CAC = " &amp; D21</f>
        <v>LTV/CAC = 0.3724</v>
      </c>
      <c r="D27" s="77" t="str">
        <f>"LTV/CAC = " &amp; Assumptions!C34</f>
        <v>LTV/CAC = 1.96444444444444</v>
      </c>
    </row>
    <row r="28" spans="2:9" x14ac:dyDescent="0.3">
      <c r="C28" s="76" t="s">
        <v>332</v>
      </c>
      <c r="D28" s="78" t="s">
        <v>142</v>
      </c>
    </row>
    <row r="31" spans="2:9" x14ac:dyDescent="0.3">
      <c r="B31" s="148" t="s">
        <v>143</v>
      </c>
      <c r="C31" s="148"/>
      <c r="D31" s="148"/>
    </row>
  </sheetData>
  <mergeCells count="7">
    <mergeCell ref="B8:F8"/>
    <mergeCell ref="B15:F15"/>
    <mergeCell ref="B20:F20"/>
    <mergeCell ref="B31:D31"/>
    <mergeCell ref="B2:F2"/>
    <mergeCell ref="B3:F3"/>
    <mergeCell ref="B5:F5"/>
  </mergeCells>
  <conditionalFormatting sqref="F1:F6 F8:F1048576">
    <cfRule type="cellIs" dxfId="9" priority="1" operator="lessThan">
      <formula>0</formula>
    </cfRule>
    <cfRule type="cellIs" dxfId="8" priority="2" operator="greaterThan">
      <formula>0</formula>
    </cfRule>
    <cfRule type="cellIs" dxfId="7" priority="3" operator="greaterThan">
      <formula>0</formula>
    </cfRule>
    <cfRule type="cellIs" dxfId="6" priority="4" operator="lessThan">
      <formula>0</formula>
    </cfRule>
    <cfRule type="cellIs" dxfId="5" priority="5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A243-572A-40A9-A1CF-B92A4B5BCB7D}">
  <sheetPr>
    <tabColor theme="7" tint="0.39997558519241921"/>
  </sheetPr>
  <dimension ref="A2:O33"/>
  <sheetViews>
    <sheetView topLeftCell="A4" zoomScale="64" workbookViewId="0">
      <selection activeCell="Q21" sqref="Q21"/>
    </sheetView>
  </sheetViews>
  <sheetFormatPr defaultRowHeight="14.4" x14ac:dyDescent="0.3"/>
  <cols>
    <col min="2" max="2" width="25.44140625" customWidth="1"/>
    <col min="3" max="3" width="13.33203125" bestFit="1" customWidth="1"/>
    <col min="8" max="8" width="11" customWidth="1"/>
  </cols>
  <sheetData>
    <row r="2" spans="2:15" x14ac:dyDescent="0.3">
      <c r="B2" s="135" t="s">
        <v>144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</row>
    <row r="3" spans="2:15" x14ac:dyDescent="0.3">
      <c r="B3" s="136" t="s">
        <v>145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5" spans="2:15" ht="27.6" x14ac:dyDescent="0.3">
      <c r="B5" s="79" t="s">
        <v>146</v>
      </c>
      <c r="C5" s="79" t="s">
        <v>147</v>
      </c>
      <c r="D5" s="79" t="s">
        <v>148</v>
      </c>
      <c r="E5" s="80" t="s">
        <v>149</v>
      </c>
      <c r="F5" s="86" t="s">
        <v>150</v>
      </c>
      <c r="G5" s="79" t="s">
        <v>151</v>
      </c>
      <c r="H5" s="45" t="s">
        <v>152</v>
      </c>
      <c r="I5" s="79" t="s">
        <v>153</v>
      </c>
      <c r="J5" s="81" t="s">
        <v>154</v>
      </c>
      <c r="K5" s="79" t="s">
        <v>155</v>
      </c>
      <c r="L5" s="79" t="s">
        <v>156</v>
      </c>
      <c r="M5" s="79" t="s">
        <v>157</v>
      </c>
      <c r="N5" s="15" t="s">
        <v>158</v>
      </c>
      <c r="O5" s="86" t="s">
        <v>159</v>
      </c>
    </row>
    <row r="6" spans="2:15" ht="15" thickBot="1" x14ac:dyDescent="0.35">
      <c r="B6" s="146" t="s">
        <v>160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</row>
    <row r="7" spans="2:15" ht="22.05" customHeight="1" x14ac:dyDescent="0.3">
      <c r="B7" s="34" t="s">
        <v>161</v>
      </c>
      <c r="C7" s="82">
        <v>2400</v>
      </c>
      <c r="D7" s="82">
        <v>2400</v>
      </c>
      <c r="E7" s="82">
        <v>2400</v>
      </c>
      <c r="F7" s="82">
        <v>3200</v>
      </c>
      <c r="G7" s="82">
        <v>3800</v>
      </c>
      <c r="H7" s="103">
        <v>4500</v>
      </c>
      <c r="I7" s="82">
        <v>5175</v>
      </c>
      <c r="J7" s="82">
        <v>5900</v>
      </c>
      <c r="K7" s="82">
        <v>6500</v>
      </c>
      <c r="L7" s="82">
        <v>7000</v>
      </c>
      <c r="M7" s="82">
        <v>7200</v>
      </c>
      <c r="N7" s="82">
        <v>7350</v>
      </c>
      <c r="O7" s="82">
        <v>7500</v>
      </c>
    </row>
    <row r="8" spans="2:15" ht="22.05" customHeight="1" x14ac:dyDescent="0.3">
      <c r="B8" s="21" t="s">
        <v>162</v>
      </c>
      <c r="C8" s="83">
        <v>0</v>
      </c>
      <c r="D8" s="83">
        <v>0</v>
      </c>
      <c r="E8" s="83">
        <v>0</v>
      </c>
      <c r="F8" s="83">
        <v>0.15</v>
      </c>
      <c r="G8" s="83">
        <v>0.15</v>
      </c>
      <c r="H8" s="104">
        <v>0.15</v>
      </c>
      <c r="I8" s="83">
        <v>0.15</v>
      </c>
      <c r="J8" s="83">
        <v>0.14000000000000001</v>
      </c>
      <c r="K8" s="83">
        <v>0.1</v>
      </c>
      <c r="L8" s="83">
        <v>0.08</v>
      </c>
      <c r="M8" s="83">
        <v>0.03</v>
      </c>
      <c r="N8" s="83">
        <v>0.02</v>
      </c>
      <c r="O8" s="83">
        <v>0.02</v>
      </c>
    </row>
    <row r="9" spans="2:15" ht="22.05" customHeight="1" x14ac:dyDescent="0.3">
      <c r="B9" s="34" t="s">
        <v>51</v>
      </c>
      <c r="C9" s="84">
        <v>0.42</v>
      </c>
      <c r="D9" s="84">
        <v>0.42</v>
      </c>
      <c r="E9" s="84">
        <v>0.45</v>
      </c>
      <c r="F9" s="84">
        <v>0.48</v>
      </c>
      <c r="G9" s="84">
        <v>0.5</v>
      </c>
      <c r="H9" s="104">
        <v>0.55000000000000004</v>
      </c>
      <c r="I9" s="84">
        <v>0.55000000000000004</v>
      </c>
      <c r="J9" s="84">
        <v>0.55000000000000004</v>
      </c>
      <c r="K9" s="84">
        <v>0.55000000000000004</v>
      </c>
      <c r="L9" s="84">
        <v>0.55000000000000004</v>
      </c>
      <c r="M9" s="84">
        <v>0.55000000000000004</v>
      </c>
      <c r="N9" s="84">
        <v>0.55000000000000004</v>
      </c>
      <c r="O9" s="84">
        <v>0.55000000000000004</v>
      </c>
    </row>
    <row r="10" spans="2:15" ht="22.05" customHeight="1" x14ac:dyDescent="0.3">
      <c r="B10" s="21" t="s">
        <v>120</v>
      </c>
      <c r="C10" s="85">
        <v>4200</v>
      </c>
      <c r="D10" s="85">
        <v>4200</v>
      </c>
      <c r="E10" s="85">
        <v>4200</v>
      </c>
      <c r="F10" s="85">
        <v>4500</v>
      </c>
      <c r="G10" s="85">
        <v>4500</v>
      </c>
      <c r="H10" s="105">
        <v>4800</v>
      </c>
      <c r="I10" s="85">
        <v>4800</v>
      </c>
      <c r="J10" s="85">
        <v>4800</v>
      </c>
      <c r="K10" s="85">
        <v>4800</v>
      </c>
      <c r="L10" s="85">
        <v>4800</v>
      </c>
      <c r="M10" s="85">
        <v>4800</v>
      </c>
      <c r="N10" s="85">
        <v>4800</v>
      </c>
      <c r="O10" s="85">
        <v>4800</v>
      </c>
    </row>
    <row r="12" spans="2:15" ht="15" customHeight="1" thickBot="1" x14ac:dyDescent="0.35">
      <c r="B12" s="146" t="s">
        <v>163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47"/>
      <c r="O12" s="147"/>
    </row>
    <row r="13" spans="2:15" ht="21" customHeight="1" x14ac:dyDescent="0.3">
      <c r="B13" s="88" t="s">
        <v>164</v>
      </c>
      <c r="C13" s="89">
        <f>C7*C10</f>
        <v>10080000</v>
      </c>
      <c r="D13" s="89">
        <f t="shared" ref="D13:O13" si="0">D7*D10</f>
        <v>10080000</v>
      </c>
      <c r="E13" s="89">
        <f t="shared" si="0"/>
        <v>10080000</v>
      </c>
      <c r="F13" s="89">
        <f t="shared" si="0"/>
        <v>14400000</v>
      </c>
      <c r="G13" s="89">
        <f t="shared" si="0"/>
        <v>17100000</v>
      </c>
      <c r="H13" s="106">
        <f t="shared" si="0"/>
        <v>21600000</v>
      </c>
      <c r="I13" s="89">
        <f t="shared" si="0"/>
        <v>24840000</v>
      </c>
      <c r="J13" s="89">
        <f t="shared" si="0"/>
        <v>28320000</v>
      </c>
      <c r="K13" s="89">
        <f t="shared" si="0"/>
        <v>31200000</v>
      </c>
      <c r="L13" s="89">
        <f t="shared" si="0"/>
        <v>33600000</v>
      </c>
      <c r="M13" s="89">
        <f t="shared" si="0"/>
        <v>34560000</v>
      </c>
      <c r="N13" s="89">
        <f t="shared" si="0"/>
        <v>35280000</v>
      </c>
      <c r="O13" s="89">
        <f t="shared" si="0"/>
        <v>36000000</v>
      </c>
    </row>
    <row r="15" spans="2:15" ht="15" thickBot="1" x14ac:dyDescent="0.35">
      <c r="B15" s="146" t="s">
        <v>165</v>
      </c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</row>
    <row r="16" spans="2:15" s="22" customFormat="1" ht="22.05" customHeight="1" thickBot="1" x14ac:dyDescent="0.35">
      <c r="B16" s="91" t="s">
        <v>167</v>
      </c>
      <c r="C16" s="114">
        <v>1400000</v>
      </c>
      <c r="D16" s="114">
        <v>1400000</v>
      </c>
      <c r="E16" s="114">
        <v>1400000</v>
      </c>
      <c r="F16" s="114">
        <v>600000</v>
      </c>
      <c r="G16" s="114">
        <v>800000</v>
      </c>
      <c r="H16" s="107">
        <v>900000</v>
      </c>
      <c r="I16" s="114">
        <v>1000000</v>
      </c>
      <c r="J16" s="114">
        <v>1200000</v>
      </c>
      <c r="K16" s="114">
        <v>1300000</v>
      </c>
      <c r="L16" s="114">
        <v>1400000</v>
      </c>
      <c r="M16" s="114">
        <v>1400000</v>
      </c>
      <c r="N16" s="114">
        <v>1500000</v>
      </c>
      <c r="O16" s="114">
        <v>1500000</v>
      </c>
    </row>
    <row r="17" spans="1:15" s="22" customFormat="1" ht="22.05" customHeight="1" thickBot="1" x14ac:dyDescent="0.35">
      <c r="B17" s="9" t="s">
        <v>168</v>
      </c>
      <c r="C17" s="95">
        <v>0</v>
      </c>
      <c r="D17" s="95">
        <v>0</v>
      </c>
      <c r="E17" s="95">
        <v>0</v>
      </c>
      <c r="F17" s="94">
        <v>600000</v>
      </c>
      <c r="G17" s="94">
        <v>600000</v>
      </c>
      <c r="H17" s="107">
        <v>700000</v>
      </c>
      <c r="I17" s="94">
        <v>700000</v>
      </c>
      <c r="J17" s="94">
        <v>700000</v>
      </c>
      <c r="K17" s="94">
        <v>800000</v>
      </c>
      <c r="L17" s="94">
        <v>900000</v>
      </c>
      <c r="M17" s="94">
        <v>900000</v>
      </c>
      <c r="N17" s="94">
        <v>1000000</v>
      </c>
      <c r="O17" s="94">
        <v>1000000</v>
      </c>
    </row>
    <row r="18" spans="1:15" s="22" customFormat="1" ht="22.05" customHeight="1" thickBot="1" x14ac:dyDescent="0.35">
      <c r="B18" s="92" t="s">
        <v>166</v>
      </c>
      <c r="C18" s="96">
        <f>C16+C17</f>
        <v>1400000</v>
      </c>
      <c r="D18" s="96">
        <f t="shared" ref="D18:O18" si="1">D16+D17</f>
        <v>1400000</v>
      </c>
      <c r="E18" s="96">
        <f t="shared" si="1"/>
        <v>1400000</v>
      </c>
      <c r="F18" s="96">
        <f t="shared" si="1"/>
        <v>1200000</v>
      </c>
      <c r="G18" s="96">
        <f t="shared" si="1"/>
        <v>1400000</v>
      </c>
      <c r="H18" s="108">
        <f t="shared" si="1"/>
        <v>1600000</v>
      </c>
      <c r="I18" s="96">
        <f t="shared" si="1"/>
        <v>1700000</v>
      </c>
      <c r="J18" s="96">
        <f t="shared" si="1"/>
        <v>1900000</v>
      </c>
      <c r="K18" s="96">
        <f t="shared" si="1"/>
        <v>2100000</v>
      </c>
      <c r="L18" s="96">
        <f t="shared" si="1"/>
        <v>2300000</v>
      </c>
      <c r="M18" s="96">
        <f t="shared" si="1"/>
        <v>2300000</v>
      </c>
      <c r="N18" s="96">
        <f t="shared" si="1"/>
        <v>2500000</v>
      </c>
      <c r="O18" s="96">
        <f t="shared" si="1"/>
        <v>2500000</v>
      </c>
    </row>
    <row r="19" spans="1:15" x14ac:dyDescent="0.3">
      <c r="A19" s="22"/>
      <c r="B19" s="22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</row>
    <row r="20" spans="1:15" ht="15" thickBot="1" x14ac:dyDescent="0.35">
      <c r="A20" s="22"/>
      <c r="B20" s="146" t="s">
        <v>169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</row>
    <row r="21" spans="1:15" ht="22.05" customHeight="1" x14ac:dyDescent="0.3">
      <c r="A21" s="22"/>
      <c r="B21" s="97" t="s">
        <v>170</v>
      </c>
      <c r="C21" s="100">
        <f>C13-C18</f>
        <v>8680000</v>
      </c>
      <c r="D21" s="100">
        <f t="shared" ref="D21:O21" si="2">D13-D18</f>
        <v>8680000</v>
      </c>
      <c r="E21" s="100">
        <f t="shared" si="2"/>
        <v>8680000</v>
      </c>
      <c r="F21" s="100">
        <f t="shared" si="2"/>
        <v>13200000</v>
      </c>
      <c r="G21" s="100">
        <f t="shared" si="2"/>
        <v>15700000</v>
      </c>
      <c r="H21" s="109">
        <f t="shared" si="2"/>
        <v>20000000</v>
      </c>
      <c r="I21" s="100">
        <f t="shared" si="2"/>
        <v>23140000</v>
      </c>
      <c r="J21" s="100">
        <f t="shared" si="2"/>
        <v>26420000</v>
      </c>
      <c r="K21" s="100">
        <f t="shared" si="2"/>
        <v>29100000</v>
      </c>
      <c r="L21" s="100">
        <f t="shared" si="2"/>
        <v>31300000</v>
      </c>
      <c r="M21" s="100">
        <f t="shared" si="2"/>
        <v>32260000</v>
      </c>
      <c r="N21" s="100">
        <f t="shared" si="2"/>
        <v>32780000</v>
      </c>
      <c r="O21" s="100">
        <f t="shared" si="2"/>
        <v>33500000</v>
      </c>
    </row>
    <row r="22" spans="1:15" ht="22.05" customHeight="1" x14ac:dyDescent="0.3">
      <c r="A22" s="22"/>
      <c r="B22" s="98" t="s">
        <v>122</v>
      </c>
      <c r="C22" s="101">
        <f>C21/C13</f>
        <v>0.86111111111111116</v>
      </c>
      <c r="D22" s="101">
        <f t="shared" ref="D22:O22" si="3">D21/D13</f>
        <v>0.86111111111111116</v>
      </c>
      <c r="E22" s="101">
        <f t="shared" si="3"/>
        <v>0.86111111111111116</v>
      </c>
      <c r="F22" s="101">
        <f t="shared" si="3"/>
        <v>0.91666666666666663</v>
      </c>
      <c r="G22" s="101">
        <f t="shared" si="3"/>
        <v>0.91812865497076024</v>
      </c>
      <c r="H22" s="110">
        <f t="shared" si="3"/>
        <v>0.92592592592592593</v>
      </c>
      <c r="I22" s="101">
        <f t="shared" si="3"/>
        <v>0.93156199677938811</v>
      </c>
      <c r="J22" s="101">
        <f t="shared" si="3"/>
        <v>0.93290960451977401</v>
      </c>
      <c r="K22" s="101">
        <f t="shared" si="3"/>
        <v>0.93269230769230771</v>
      </c>
      <c r="L22" s="101">
        <f t="shared" si="3"/>
        <v>0.93154761904761907</v>
      </c>
      <c r="M22" s="101">
        <f t="shared" si="3"/>
        <v>0.93344907407407407</v>
      </c>
      <c r="N22" s="101">
        <f t="shared" si="3"/>
        <v>0.92913832199546487</v>
      </c>
      <c r="O22" s="101">
        <f t="shared" si="3"/>
        <v>0.93055555555555558</v>
      </c>
    </row>
    <row r="23" spans="1:15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</row>
    <row r="24" spans="1:15" ht="15" thickBot="1" x14ac:dyDescent="0.35">
      <c r="A24" s="22"/>
      <c r="B24" s="146" t="s">
        <v>171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</row>
    <row r="25" spans="1:15" x14ac:dyDescent="0.3">
      <c r="A25" s="22"/>
      <c r="B25" s="34" t="s">
        <v>172</v>
      </c>
      <c r="C25" s="102">
        <v>4300000</v>
      </c>
      <c r="D25" s="102">
        <v>4300000</v>
      </c>
      <c r="E25" s="102">
        <v>4300000</v>
      </c>
      <c r="F25" s="102">
        <v>4600000</v>
      </c>
      <c r="G25" s="102">
        <v>5000000</v>
      </c>
      <c r="H25" s="111">
        <v>5400000</v>
      </c>
      <c r="I25" s="102">
        <v>5600000.0000000009</v>
      </c>
      <c r="J25" s="102">
        <v>6400000</v>
      </c>
      <c r="K25" s="102">
        <v>7000000</v>
      </c>
      <c r="L25" s="102">
        <v>7600000</v>
      </c>
      <c r="M25" s="102">
        <v>7800000</v>
      </c>
      <c r="N25" s="102">
        <v>7900000</v>
      </c>
      <c r="O25" s="102">
        <v>8100000.0000000009</v>
      </c>
    </row>
    <row r="26" spans="1:15" x14ac:dyDescent="0.3">
      <c r="A26" s="22"/>
      <c r="B26" s="21" t="s">
        <v>173</v>
      </c>
      <c r="C26" s="102">
        <v>3600000</v>
      </c>
      <c r="D26" s="102">
        <v>3600000</v>
      </c>
      <c r="E26" s="102">
        <v>3600000</v>
      </c>
      <c r="F26" s="102">
        <v>3000000</v>
      </c>
      <c r="G26" s="102">
        <v>2800000.0000000005</v>
      </c>
      <c r="H26" s="111">
        <v>2600000</v>
      </c>
      <c r="I26" s="102">
        <v>2400000</v>
      </c>
      <c r="J26" s="102">
        <v>2200000</v>
      </c>
      <c r="K26" s="102">
        <v>2000000</v>
      </c>
      <c r="L26" s="102">
        <v>1800000</v>
      </c>
      <c r="M26" s="102">
        <v>1600000</v>
      </c>
      <c r="N26" s="102">
        <v>1400000.0000000002</v>
      </c>
      <c r="O26" s="102">
        <v>1200000</v>
      </c>
    </row>
    <row r="27" spans="1:15" x14ac:dyDescent="0.3">
      <c r="A27" s="22"/>
      <c r="B27" s="34" t="s">
        <v>174</v>
      </c>
      <c r="C27" s="102">
        <f>C25+C26</f>
        <v>7900000</v>
      </c>
      <c r="D27" s="102">
        <f t="shared" ref="D27:O27" si="4">D25+D26</f>
        <v>7900000</v>
      </c>
      <c r="E27" s="102">
        <f t="shared" si="4"/>
        <v>7900000</v>
      </c>
      <c r="F27" s="102">
        <f t="shared" si="4"/>
        <v>7600000</v>
      </c>
      <c r="G27" s="102">
        <f t="shared" si="4"/>
        <v>7800000</v>
      </c>
      <c r="H27" s="111">
        <f t="shared" si="4"/>
        <v>8000000</v>
      </c>
      <c r="I27" s="102">
        <f t="shared" si="4"/>
        <v>8000000.0000000009</v>
      </c>
      <c r="J27" s="102">
        <f t="shared" si="4"/>
        <v>8600000</v>
      </c>
      <c r="K27" s="102">
        <f t="shared" si="4"/>
        <v>9000000</v>
      </c>
      <c r="L27" s="102">
        <f t="shared" si="4"/>
        <v>9400000</v>
      </c>
      <c r="M27" s="102">
        <f t="shared" si="4"/>
        <v>9400000</v>
      </c>
      <c r="N27" s="102">
        <f t="shared" si="4"/>
        <v>9300000</v>
      </c>
      <c r="O27" s="102">
        <f t="shared" si="4"/>
        <v>9300000</v>
      </c>
    </row>
    <row r="28" spans="1:15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</row>
    <row r="29" spans="1:15" ht="19.95" customHeight="1" thickBot="1" x14ac:dyDescent="0.35">
      <c r="B29" s="146" t="s">
        <v>175</v>
      </c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</row>
    <row r="30" spans="1:15" ht="22.05" customHeight="1" x14ac:dyDescent="0.3">
      <c r="B30" s="90" t="s">
        <v>176</v>
      </c>
      <c r="C30" s="93">
        <v>0.08</v>
      </c>
      <c r="D30" s="93">
        <v>0.08</v>
      </c>
      <c r="E30" s="93">
        <v>0.08</v>
      </c>
      <c r="F30" s="93">
        <v>0.56000000000000005</v>
      </c>
      <c r="G30" s="93">
        <v>0.79</v>
      </c>
      <c r="H30" s="112">
        <v>1.2</v>
      </c>
      <c r="I30" s="93">
        <v>1.51</v>
      </c>
      <c r="J30" s="93">
        <v>1.78</v>
      </c>
      <c r="K30" s="93">
        <v>2.0099999999999998</v>
      </c>
      <c r="L30" s="93">
        <v>2.19</v>
      </c>
      <c r="M30" s="93">
        <v>2.29</v>
      </c>
      <c r="N30" s="93">
        <v>2.35</v>
      </c>
      <c r="O30" s="93">
        <v>2.42</v>
      </c>
    </row>
    <row r="31" spans="1:15" ht="22.05" customHeight="1" x14ac:dyDescent="0.3">
      <c r="B31" s="34" t="s">
        <v>177</v>
      </c>
      <c r="C31" s="87">
        <v>-19.12</v>
      </c>
      <c r="D31" s="87">
        <v>-19.04</v>
      </c>
      <c r="E31" s="87">
        <v>-18.96</v>
      </c>
      <c r="F31" s="87">
        <v>-18.399999999999999</v>
      </c>
      <c r="G31" s="87">
        <v>-17.61</v>
      </c>
      <c r="H31" s="113">
        <v>-16.41</v>
      </c>
      <c r="I31" s="87">
        <v>-14.9</v>
      </c>
      <c r="J31" s="87">
        <v>-13.12</v>
      </c>
      <c r="K31" s="87">
        <v>-11.11</v>
      </c>
      <c r="L31" s="87">
        <v>-8.92</v>
      </c>
      <c r="M31" s="87">
        <v>-6.63</v>
      </c>
      <c r="N31" s="87">
        <v>-4.28</v>
      </c>
      <c r="O31" s="87">
        <v>-1.86</v>
      </c>
    </row>
    <row r="33" spans="2:15" ht="18" x14ac:dyDescent="0.35">
      <c r="B33" s="151" t="s">
        <v>178</v>
      </c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</row>
  </sheetData>
  <mergeCells count="9">
    <mergeCell ref="B24:O24"/>
    <mergeCell ref="B29:O29"/>
    <mergeCell ref="B33:O33"/>
    <mergeCell ref="B2:O2"/>
    <mergeCell ref="B3:O3"/>
    <mergeCell ref="B6:O6"/>
    <mergeCell ref="B12:O12"/>
    <mergeCell ref="B15:O15"/>
    <mergeCell ref="B20:O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95F1-0C36-428B-B023-119F288F8F56}">
  <sheetPr>
    <tabColor rgb="FFC00000"/>
  </sheetPr>
  <dimension ref="B2:F38"/>
  <sheetViews>
    <sheetView topLeftCell="A15" workbookViewId="0">
      <selection activeCell="H50" sqref="H50"/>
    </sheetView>
  </sheetViews>
  <sheetFormatPr defaultRowHeight="14.4" x14ac:dyDescent="0.3"/>
  <cols>
    <col min="2" max="2" width="27.44140625" bestFit="1" customWidth="1"/>
    <col min="3" max="3" width="20.77734375" bestFit="1" customWidth="1"/>
    <col min="4" max="4" width="18.44140625" customWidth="1"/>
    <col min="5" max="5" width="13.109375" customWidth="1"/>
    <col min="6" max="6" width="27.21875" bestFit="1" customWidth="1"/>
  </cols>
  <sheetData>
    <row r="2" spans="2:6" ht="20.399999999999999" customHeight="1" x14ac:dyDescent="0.3">
      <c r="B2" s="135" t="s">
        <v>179</v>
      </c>
      <c r="C2" s="135"/>
      <c r="D2" s="135"/>
      <c r="E2" s="135"/>
      <c r="F2" s="135"/>
    </row>
    <row r="3" spans="2:6" ht="33.6" customHeight="1" x14ac:dyDescent="0.3">
      <c r="B3" s="136" t="s">
        <v>180</v>
      </c>
      <c r="C3" s="136"/>
      <c r="D3" s="136"/>
      <c r="E3" s="136"/>
      <c r="F3" s="136"/>
    </row>
    <row r="5" spans="2:6" ht="45.6" customHeight="1" x14ac:dyDescent="0.3">
      <c r="B5" s="115" t="s">
        <v>114</v>
      </c>
      <c r="C5" s="116" t="s">
        <v>181</v>
      </c>
      <c r="D5" s="117" t="s">
        <v>182</v>
      </c>
      <c r="E5" s="118" t="s">
        <v>183</v>
      </c>
      <c r="F5" s="115" t="s">
        <v>222</v>
      </c>
    </row>
    <row r="6" spans="2:6" ht="15" thickBot="1" x14ac:dyDescent="0.35">
      <c r="B6" s="134" t="s">
        <v>184</v>
      </c>
      <c r="C6" s="134"/>
      <c r="D6" s="134"/>
      <c r="E6" s="134"/>
      <c r="F6" s="134"/>
    </row>
    <row r="7" spans="2:6" x14ac:dyDescent="0.3">
      <c r="B7" s="34" t="s">
        <v>185</v>
      </c>
      <c r="C7" s="119" t="s">
        <v>223</v>
      </c>
      <c r="D7" s="120" t="s">
        <v>224</v>
      </c>
      <c r="E7" s="121" t="s">
        <v>225</v>
      </c>
      <c r="F7" s="122" t="s">
        <v>226</v>
      </c>
    </row>
    <row r="8" spans="2:6" x14ac:dyDescent="0.3">
      <c r="B8" s="21" t="s">
        <v>186</v>
      </c>
      <c r="C8" s="119" t="s">
        <v>227</v>
      </c>
      <c r="D8" s="120" t="s">
        <v>228</v>
      </c>
      <c r="E8" s="121" t="s">
        <v>229</v>
      </c>
      <c r="F8" s="122" t="s">
        <v>187</v>
      </c>
    </row>
    <row r="10" spans="2:6" ht="15" thickBot="1" x14ac:dyDescent="0.35">
      <c r="B10" s="134" t="s">
        <v>230</v>
      </c>
      <c r="C10" s="134"/>
      <c r="D10" s="134"/>
      <c r="E10" s="134"/>
      <c r="F10" s="134"/>
    </row>
    <row r="11" spans="2:6" x14ac:dyDescent="0.3">
      <c r="B11" s="34" t="s">
        <v>120</v>
      </c>
      <c r="C11" s="123">
        <v>5500</v>
      </c>
      <c r="D11" s="124">
        <v>4800</v>
      </c>
      <c r="E11" s="125">
        <v>2800</v>
      </c>
      <c r="F11" s="122" t="s">
        <v>231</v>
      </c>
    </row>
    <row r="12" spans="2:6" x14ac:dyDescent="0.3">
      <c r="B12" s="21" t="s">
        <v>188</v>
      </c>
      <c r="C12" s="119">
        <v>1500</v>
      </c>
      <c r="D12" s="120">
        <v>4500</v>
      </c>
      <c r="E12" s="121">
        <v>6000</v>
      </c>
      <c r="F12" s="122" t="s">
        <v>232</v>
      </c>
    </row>
    <row r="13" spans="2:6" x14ac:dyDescent="0.3">
      <c r="B13" s="34" t="s">
        <v>189</v>
      </c>
      <c r="C13" s="119" t="s">
        <v>233</v>
      </c>
      <c r="D13" s="120" t="s">
        <v>234</v>
      </c>
      <c r="E13" s="121" t="s">
        <v>235</v>
      </c>
      <c r="F13" s="122" t="s">
        <v>236</v>
      </c>
    </row>
    <row r="15" spans="2:6" ht="15" thickBot="1" x14ac:dyDescent="0.35">
      <c r="B15" s="134" t="s">
        <v>190</v>
      </c>
      <c r="C15" s="134"/>
      <c r="D15" s="134"/>
      <c r="E15" s="134"/>
      <c r="F15" s="134"/>
    </row>
    <row r="16" spans="2:6" x14ac:dyDescent="0.3">
      <c r="B16" s="21" t="s">
        <v>106</v>
      </c>
      <c r="C16" s="119">
        <v>18000</v>
      </c>
      <c r="D16" s="120">
        <v>10800</v>
      </c>
      <c r="E16" s="121">
        <v>15000</v>
      </c>
      <c r="F16" s="122" t="s">
        <v>191</v>
      </c>
    </row>
    <row r="17" spans="2:6" x14ac:dyDescent="0.3">
      <c r="B17" s="34" t="s">
        <v>122</v>
      </c>
      <c r="C17" s="126">
        <v>0.48</v>
      </c>
      <c r="D17" s="127">
        <v>0.52</v>
      </c>
      <c r="E17" s="121" t="s">
        <v>192</v>
      </c>
      <c r="F17" s="122" t="s">
        <v>193</v>
      </c>
    </row>
    <row r="18" spans="2:6" x14ac:dyDescent="0.3">
      <c r="B18" s="21" t="s">
        <v>194</v>
      </c>
      <c r="C18" s="126">
        <v>0.65</v>
      </c>
      <c r="D18" s="120" t="s">
        <v>195</v>
      </c>
      <c r="E18" s="121" t="s">
        <v>196</v>
      </c>
      <c r="F18" s="122" t="s">
        <v>197</v>
      </c>
    </row>
    <row r="19" spans="2:6" x14ac:dyDescent="0.3">
      <c r="B19" s="34" t="s">
        <v>198</v>
      </c>
      <c r="C19" s="119" t="s">
        <v>199</v>
      </c>
      <c r="D19" s="120" t="s">
        <v>200</v>
      </c>
      <c r="E19" s="121" t="s">
        <v>201</v>
      </c>
      <c r="F19" s="122" t="s">
        <v>202</v>
      </c>
    </row>
    <row r="20" spans="2:6" x14ac:dyDescent="0.3">
      <c r="B20" s="21" t="s">
        <v>203</v>
      </c>
      <c r="C20" s="119" t="s">
        <v>237</v>
      </c>
      <c r="D20" s="120" t="s">
        <v>238</v>
      </c>
      <c r="E20" s="128" t="s">
        <v>239</v>
      </c>
      <c r="F20" s="122" t="s">
        <v>205</v>
      </c>
    </row>
    <row r="22" spans="2:6" ht="15" thickBot="1" x14ac:dyDescent="0.35">
      <c r="B22" s="134" t="s">
        <v>240</v>
      </c>
      <c r="C22" s="134"/>
      <c r="D22" s="134"/>
      <c r="E22" s="134"/>
      <c r="F22" s="134"/>
    </row>
    <row r="23" spans="2:6" x14ac:dyDescent="0.3">
      <c r="B23" s="34" t="s">
        <v>206</v>
      </c>
      <c r="C23" s="119" t="s">
        <v>207</v>
      </c>
      <c r="D23" s="120" t="s">
        <v>208</v>
      </c>
      <c r="E23" s="121" t="s">
        <v>204</v>
      </c>
      <c r="F23" s="122" t="s">
        <v>209</v>
      </c>
    </row>
    <row r="24" spans="2:6" x14ac:dyDescent="0.3">
      <c r="B24" s="21" t="s">
        <v>210</v>
      </c>
      <c r="C24" s="119" t="s">
        <v>211</v>
      </c>
      <c r="D24" s="120" t="s">
        <v>212</v>
      </c>
      <c r="E24" s="121" t="s">
        <v>211</v>
      </c>
      <c r="F24" s="122" t="s">
        <v>213</v>
      </c>
    </row>
    <row r="25" spans="2:6" x14ac:dyDescent="0.3">
      <c r="B25" s="34" t="s">
        <v>214</v>
      </c>
      <c r="C25" s="119" t="s">
        <v>211</v>
      </c>
      <c r="D25" s="120" t="s">
        <v>212</v>
      </c>
      <c r="E25" s="121" t="s">
        <v>215</v>
      </c>
      <c r="F25" s="122" t="s">
        <v>216</v>
      </c>
    </row>
    <row r="26" spans="2:6" x14ac:dyDescent="0.3">
      <c r="B26" s="21" t="s">
        <v>217</v>
      </c>
      <c r="C26" s="119" t="s">
        <v>215</v>
      </c>
      <c r="D26" s="120" t="s">
        <v>211</v>
      </c>
      <c r="E26" s="121" t="s">
        <v>218</v>
      </c>
      <c r="F26" s="122" t="s">
        <v>219</v>
      </c>
    </row>
    <row r="28" spans="2:6" ht="15" thickBot="1" x14ac:dyDescent="0.35">
      <c r="B28" s="134" t="s">
        <v>241</v>
      </c>
      <c r="C28" s="134"/>
      <c r="D28" s="134"/>
      <c r="E28" s="134"/>
      <c r="F28" s="134"/>
    </row>
    <row r="29" spans="2:6" ht="57.6" customHeight="1" x14ac:dyDescent="0.3">
      <c r="B29" s="129" t="s">
        <v>220</v>
      </c>
      <c r="C29" s="130" t="s">
        <v>242</v>
      </c>
      <c r="D29" s="131" t="s">
        <v>243</v>
      </c>
      <c r="E29" s="132" t="s">
        <v>244</v>
      </c>
      <c r="F29" s="122" t="s">
        <v>221</v>
      </c>
    </row>
    <row r="32" spans="2:6" ht="15" thickBot="1" x14ac:dyDescent="0.35">
      <c r="B32" s="134" t="s">
        <v>252</v>
      </c>
      <c r="C32" s="134"/>
      <c r="D32" s="134"/>
      <c r="E32" s="134"/>
      <c r="F32" s="134"/>
    </row>
    <row r="33" spans="2:5" x14ac:dyDescent="0.3">
      <c r="B33" s="133" t="s">
        <v>114</v>
      </c>
      <c r="C33" s="133" t="s">
        <v>245</v>
      </c>
      <c r="D33" s="133" t="s">
        <v>246</v>
      </c>
      <c r="E33" s="133" t="s">
        <v>247</v>
      </c>
    </row>
    <row r="34" spans="2:5" x14ac:dyDescent="0.3">
      <c r="B34" t="s">
        <v>248</v>
      </c>
      <c r="C34">
        <v>55</v>
      </c>
      <c r="D34">
        <v>48</v>
      </c>
      <c r="E34">
        <v>28</v>
      </c>
    </row>
    <row r="35" spans="2:5" x14ac:dyDescent="0.3">
      <c r="B35" t="s">
        <v>122</v>
      </c>
      <c r="C35">
        <v>48</v>
      </c>
      <c r="D35">
        <v>52</v>
      </c>
      <c r="E35">
        <v>62</v>
      </c>
    </row>
    <row r="36" spans="2:5" x14ac:dyDescent="0.3">
      <c r="B36" t="s">
        <v>249</v>
      </c>
      <c r="C36">
        <v>65</v>
      </c>
      <c r="D36">
        <v>55</v>
      </c>
      <c r="E36">
        <v>35</v>
      </c>
    </row>
    <row r="37" spans="2:5" x14ac:dyDescent="0.3">
      <c r="B37" t="s">
        <v>250</v>
      </c>
      <c r="C37">
        <v>35</v>
      </c>
      <c r="D37">
        <v>32</v>
      </c>
      <c r="E37">
        <v>14</v>
      </c>
    </row>
    <row r="38" spans="2:5" x14ac:dyDescent="0.3">
      <c r="B38" t="s">
        <v>251</v>
      </c>
      <c r="C38">
        <v>45</v>
      </c>
      <c r="D38">
        <v>12.5</v>
      </c>
      <c r="E38">
        <v>3</v>
      </c>
    </row>
  </sheetData>
  <mergeCells count="8">
    <mergeCell ref="B32:F32"/>
    <mergeCell ref="B2:F2"/>
    <mergeCell ref="B3:F3"/>
    <mergeCell ref="B6:F6"/>
    <mergeCell ref="B10:F10"/>
    <mergeCell ref="B15:F15"/>
    <mergeCell ref="B22:F22"/>
    <mergeCell ref="B28:F28"/>
  </mergeCells>
  <pageMargins left="0.7" right="0.7" top="0.75" bottom="0.75" header="0.3" footer="0.3"/>
  <ignoredErrors>
    <ignoredError sqref="D18 E17:E18 C23:E23" numberStoredAsText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8E84-55DA-4E3C-AE21-7387113F37A5}">
  <sheetPr>
    <tabColor rgb="FF7030A0"/>
  </sheetPr>
  <dimension ref="B2:J29"/>
  <sheetViews>
    <sheetView workbookViewId="0">
      <selection activeCell="B5" sqref="B5:J5"/>
    </sheetView>
  </sheetViews>
  <sheetFormatPr defaultRowHeight="14.4" x14ac:dyDescent="0.3"/>
  <cols>
    <col min="2" max="2" width="13.77734375" customWidth="1"/>
    <col min="3" max="10" width="12.77734375" customWidth="1"/>
  </cols>
  <sheetData>
    <row r="2" spans="2:10" ht="24" customHeight="1" x14ac:dyDescent="0.3">
      <c r="B2" s="154" t="s">
        <v>253</v>
      </c>
      <c r="C2" s="153"/>
      <c r="D2" s="153"/>
      <c r="E2" s="153"/>
      <c r="F2" s="153"/>
      <c r="G2" s="153"/>
      <c r="H2" s="153"/>
      <c r="I2" s="153"/>
      <c r="J2" s="153"/>
    </row>
    <row r="3" spans="2:10" ht="32.4" customHeight="1" x14ac:dyDescent="0.3">
      <c r="B3" s="155" t="s">
        <v>254</v>
      </c>
      <c r="C3" s="153"/>
      <c r="D3" s="153"/>
      <c r="E3" s="153"/>
      <c r="F3" s="153"/>
      <c r="G3" s="153"/>
      <c r="H3" s="153"/>
      <c r="I3" s="153"/>
      <c r="J3" s="153"/>
    </row>
    <row r="5" spans="2:10" ht="15" thickBot="1" x14ac:dyDescent="0.35">
      <c r="B5" s="156" t="s">
        <v>255</v>
      </c>
      <c r="C5" s="147"/>
      <c r="D5" s="147"/>
      <c r="E5" s="147"/>
      <c r="F5" s="147"/>
      <c r="G5" s="147"/>
      <c r="H5" s="147"/>
      <c r="I5" s="147"/>
      <c r="J5" s="147"/>
    </row>
    <row r="6" spans="2:10" ht="24" x14ac:dyDescent="0.3">
      <c r="B6" s="157" t="s">
        <v>256</v>
      </c>
      <c r="C6" s="159">
        <v>8000</v>
      </c>
      <c r="D6" s="159">
        <v>10000</v>
      </c>
      <c r="E6" s="159">
        <v>12000</v>
      </c>
      <c r="F6" s="159">
        <v>14000</v>
      </c>
      <c r="G6" s="159">
        <v>16000</v>
      </c>
      <c r="H6" s="159">
        <v>18000</v>
      </c>
      <c r="I6" s="159">
        <v>20000</v>
      </c>
      <c r="J6" s="159">
        <v>22000</v>
      </c>
    </row>
    <row r="7" spans="2:10" ht="25.05" customHeight="1" x14ac:dyDescent="0.3">
      <c r="B7" s="158">
        <v>0.3</v>
      </c>
      <c r="C7" s="163">
        <f>(4800*0.52*(1/(1-$B7^(1/6))))/C$6</f>
        <v>1.7160661140213973</v>
      </c>
      <c r="D7" s="163">
        <f t="shared" ref="D7:J15" si="0">(4800*0.52*(1/(1-$B7^(1/6))))/D$6</f>
        <v>1.3728528912171178</v>
      </c>
      <c r="E7" s="163">
        <f t="shared" si="0"/>
        <v>1.1440440760142647</v>
      </c>
      <c r="F7" s="163">
        <f t="shared" si="0"/>
        <v>0.98060920801222695</v>
      </c>
      <c r="G7" s="163">
        <f t="shared" si="0"/>
        <v>0.85803305701069865</v>
      </c>
      <c r="H7" s="163">
        <f t="shared" si="0"/>
        <v>0.76269605067617652</v>
      </c>
      <c r="I7" s="163">
        <f t="shared" si="0"/>
        <v>0.68642644560855892</v>
      </c>
      <c r="J7" s="163">
        <f t="shared" si="0"/>
        <v>0.62402404146232626</v>
      </c>
    </row>
    <row r="8" spans="2:10" ht="25.05" customHeight="1" x14ac:dyDescent="0.3">
      <c r="B8" s="158">
        <v>0.35</v>
      </c>
      <c r="C8" s="163">
        <f t="shared" ref="C8:C15" si="1">(4800*0.52*(1/(1-$B8^(1/6))))/C$6</f>
        <v>1.9437061290525994</v>
      </c>
      <c r="D8" s="163">
        <f t="shared" si="0"/>
        <v>1.5549649032420796</v>
      </c>
      <c r="E8" s="163">
        <f t="shared" si="0"/>
        <v>1.2958040860350664</v>
      </c>
      <c r="F8" s="163">
        <f t="shared" si="0"/>
        <v>1.1106892166014855</v>
      </c>
      <c r="G8" s="163">
        <f t="shared" si="0"/>
        <v>0.97185306452629971</v>
      </c>
      <c r="H8" s="163">
        <f t="shared" si="0"/>
        <v>0.8638693906900442</v>
      </c>
      <c r="I8" s="163">
        <f t="shared" si="0"/>
        <v>0.77748245162103979</v>
      </c>
      <c r="J8" s="163">
        <f t="shared" si="0"/>
        <v>0.70680222874639975</v>
      </c>
    </row>
    <row r="9" spans="2:10" ht="25.05" customHeight="1" x14ac:dyDescent="0.3">
      <c r="B9" s="158">
        <v>0.4</v>
      </c>
      <c r="C9" s="163">
        <f t="shared" si="1"/>
        <v>2.2029887330430604</v>
      </c>
      <c r="D9" s="163">
        <f t="shared" si="0"/>
        <v>1.7623909864344485</v>
      </c>
      <c r="E9" s="163">
        <f t="shared" si="0"/>
        <v>1.4686591553620405</v>
      </c>
      <c r="F9" s="163">
        <f t="shared" si="0"/>
        <v>1.2588507045960347</v>
      </c>
      <c r="G9" s="163">
        <f t="shared" si="0"/>
        <v>1.1014943665215302</v>
      </c>
      <c r="H9" s="163">
        <f t="shared" si="0"/>
        <v>0.97910610357469363</v>
      </c>
      <c r="I9" s="163">
        <f t="shared" si="0"/>
        <v>0.88119549321722423</v>
      </c>
      <c r="J9" s="163">
        <f t="shared" si="0"/>
        <v>0.80108681201565846</v>
      </c>
    </row>
    <row r="10" spans="2:10" ht="25.05" customHeight="1" x14ac:dyDescent="0.3">
      <c r="B10" s="158">
        <v>0.45</v>
      </c>
      <c r="C10" s="163">
        <f t="shared" si="1"/>
        <v>2.5038323251655901</v>
      </c>
      <c r="D10" s="163">
        <f t="shared" si="0"/>
        <v>2.0030658601324722</v>
      </c>
      <c r="E10" s="163">
        <f t="shared" si="0"/>
        <v>1.6692215501103935</v>
      </c>
      <c r="F10" s="163">
        <f t="shared" si="0"/>
        <v>1.4307613286660514</v>
      </c>
      <c r="G10" s="163">
        <f t="shared" si="0"/>
        <v>1.251916162582795</v>
      </c>
      <c r="H10" s="163">
        <f t="shared" si="0"/>
        <v>1.1128143667402624</v>
      </c>
      <c r="I10" s="163">
        <f t="shared" si="0"/>
        <v>1.0015329300662361</v>
      </c>
      <c r="J10" s="163">
        <f t="shared" si="0"/>
        <v>0.91048448187839648</v>
      </c>
    </row>
    <row r="11" spans="2:10" ht="25.05" customHeight="1" x14ac:dyDescent="0.3">
      <c r="B11" s="158">
        <v>0.5</v>
      </c>
      <c r="C11" s="163">
        <f t="shared" si="1"/>
        <v>2.8597280864337793</v>
      </c>
      <c r="D11" s="163">
        <f t="shared" si="0"/>
        <v>2.2877824691470234</v>
      </c>
      <c r="E11" s="163">
        <f t="shared" si="0"/>
        <v>1.906485390955853</v>
      </c>
      <c r="F11" s="163">
        <f t="shared" si="0"/>
        <v>1.6341303351050169</v>
      </c>
      <c r="G11" s="163">
        <f t="shared" si="0"/>
        <v>1.4298640432168896</v>
      </c>
      <c r="H11" s="163">
        <f t="shared" si="0"/>
        <v>1.2709902606372354</v>
      </c>
      <c r="I11" s="163">
        <f t="shared" si="0"/>
        <v>1.1438912345735117</v>
      </c>
      <c r="J11" s="163">
        <f t="shared" si="0"/>
        <v>1.0399011223395562</v>
      </c>
    </row>
    <row r="12" spans="2:10" ht="25.05" customHeight="1" x14ac:dyDescent="0.3">
      <c r="B12" s="158">
        <v>0.55000000000000004</v>
      </c>
      <c r="C12" s="163">
        <f t="shared" si="1"/>
        <v>3.2898784887841135</v>
      </c>
      <c r="D12" s="163">
        <f t="shared" si="0"/>
        <v>2.6319027910272905</v>
      </c>
      <c r="E12" s="163">
        <f t="shared" si="0"/>
        <v>2.1932523258560757</v>
      </c>
      <c r="F12" s="163">
        <f t="shared" si="0"/>
        <v>1.8799305650194933</v>
      </c>
      <c r="G12" s="163">
        <f t="shared" si="0"/>
        <v>1.6449392443920567</v>
      </c>
      <c r="H12" s="163">
        <f t="shared" si="0"/>
        <v>1.4621682172373838</v>
      </c>
      <c r="I12" s="163">
        <f t="shared" si="0"/>
        <v>1.3159513955136453</v>
      </c>
      <c r="J12" s="163">
        <f t="shared" si="0"/>
        <v>1.1963194504669503</v>
      </c>
    </row>
    <row r="13" spans="2:10" ht="25.05" customHeight="1" x14ac:dyDescent="0.3">
      <c r="B13" s="158">
        <v>0.6</v>
      </c>
      <c r="C13" s="163">
        <f t="shared" si="1"/>
        <v>3.8228689440878738</v>
      </c>
      <c r="D13" s="163">
        <f t="shared" si="0"/>
        <v>3.058295155270299</v>
      </c>
      <c r="E13" s="163">
        <f t="shared" si="0"/>
        <v>2.5485792960585827</v>
      </c>
      <c r="F13" s="163">
        <f t="shared" si="0"/>
        <v>2.184496539478785</v>
      </c>
      <c r="G13" s="163">
        <f t="shared" si="0"/>
        <v>1.9114344720439369</v>
      </c>
      <c r="H13" s="163">
        <f t="shared" si="0"/>
        <v>1.699052864039055</v>
      </c>
      <c r="I13" s="163">
        <f t="shared" si="0"/>
        <v>1.5291475776351495</v>
      </c>
      <c r="J13" s="163">
        <f t="shared" si="0"/>
        <v>1.3901341614864995</v>
      </c>
    </row>
    <row r="14" spans="2:10" ht="25.05" customHeight="1" x14ac:dyDescent="0.3">
      <c r="B14" s="158">
        <v>0.65</v>
      </c>
      <c r="C14" s="163">
        <f t="shared" si="1"/>
        <v>4.503442794540601</v>
      </c>
      <c r="D14" s="163">
        <f t="shared" si="0"/>
        <v>3.6027542356324811</v>
      </c>
      <c r="E14" s="163">
        <f t="shared" si="0"/>
        <v>3.002295196360401</v>
      </c>
      <c r="F14" s="163">
        <f t="shared" si="0"/>
        <v>2.5733958825946295</v>
      </c>
      <c r="G14" s="163">
        <f t="shared" si="0"/>
        <v>2.2517213972703005</v>
      </c>
      <c r="H14" s="163">
        <f t="shared" si="0"/>
        <v>2.001530130906934</v>
      </c>
      <c r="I14" s="163">
        <f t="shared" si="0"/>
        <v>1.8013771178162405</v>
      </c>
      <c r="J14" s="163">
        <f t="shared" si="0"/>
        <v>1.6376155616511279</v>
      </c>
    </row>
    <row r="15" spans="2:10" ht="25.05" customHeight="1" x14ac:dyDescent="0.3">
      <c r="B15" s="158">
        <v>0.7</v>
      </c>
      <c r="C15" s="163">
        <f t="shared" si="1"/>
        <v>5.4060218282520021</v>
      </c>
      <c r="D15" s="163">
        <f t="shared" si="0"/>
        <v>4.3248174626016018</v>
      </c>
      <c r="E15" s="163">
        <f t="shared" si="0"/>
        <v>3.6040145521680014</v>
      </c>
      <c r="F15" s="163">
        <f t="shared" si="0"/>
        <v>3.0891553304297155</v>
      </c>
      <c r="G15" s="163">
        <f t="shared" si="0"/>
        <v>2.703010914126001</v>
      </c>
      <c r="H15" s="163">
        <f t="shared" si="0"/>
        <v>2.4026763681120009</v>
      </c>
      <c r="I15" s="163">
        <f t="shared" si="0"/>
        <v>2.1624087313008009</v>
      </c>
      <c r="J15" s="163">
        <f t="shared" si="0"/>
        <v>1.9658261193643642</v>
      </c>
    </row>
    <row r="17" spans="2:10" ht="15" thickBot="1" x14ac:dyDescent="0.35">
      <c r="B17" s="146" t="s">
        <v>258</v>
      </c>
      <c r="C17" s="147"/>
      <c r="D17" s="147"/>
      <c r="E17" s="147"/>
      <c r="F17" s="147"/>
      <c r="G17" s="147"/>
      <c r="H17" s="147"/>
      <c r="I17" s="147"/>
      <c r="J17" s="147"/>
    </row>
    <row r="18" spans="2:10" x14ac:dyDescent="0.3">
      <c r="B18" s="160" t="s">
        <v>257</v>
      </c>
      <c r="C18" s="162">
        <v>3000</v>
      </c>
      <c r="D18" s="162">
        <v>3500</v>
      </c>
      <c r="E18" s="162">
        <v>4000</v>
      </c>
      <c r="F18" s="162">
        <v>4200</v>
      </c>
      <c r="G18" s="162">
        <v>4500</v>
      </c>
      <c r="H18" s="162">
        <v>4800</v>
      </c>
      <c r="I18" s="162">
        <v>5000</v>
      </c>
      <c r="J18" s="162">
        <v>5500</v>
      </c>
    </row>
    <row r="19" spans="2:10" ht="25.05" customHeight="1" x14ac:dyDescent="0.3">
      <c r="B19" s="161">
        <v>0.35</v>
      </c>
      <c r="C19" s="164">
        <f>1200000/(C$18*$B19)</f>
        <v>1142.8571428571429</v>
      </c>
      <c r="D19" s="164">
        <f t="shared" ref="D19:J28" si="2">1200000/(D$18*$B19)</f>
        <v>979.59183673469386</v>
      </c>
      <c r="E19" s="164">
        <f t="shared" si="2"/>
        <v>857.14285714285711</v>
      </c>
      <c r="F19" s="164">
        <f t="shared" si="2"/>
        <v>816.32653061224494</v>
      </c>
      <c r="G19" s="164">
        <f t="shared" si="2"/>
        <v>761.90476190476193</v>
      </c>
      <c r="H19" s="164">
        <f t="shared" si="2"/>
        <v>714.28571428571433</v>
      </c>
      <c r="I19" s="164">
        <f t="shared" si="2"/>
        <v>685.71428571428567</v>
      </c>
      <c r="J19" s="164">
        <f t="shared" si="2"/>
        <v>623.37662337662346</v>
      </c>
    </row>
    <row r="20" spans="2:10" ht="25.05" customHeight="1" x14ac:dyDescent="0.3">
      <c r="B20" s="161">
        <v>0.4</v>
      </c>
      <c r="C20" s="164">
        <f t="shared" ref="C20:C28" si="3">1200000/(C$18*$B20)</f>
        <v>1000</v>
      </c>
      <c r="D20" s="164">
        <f t="shared" si="2"/>
        <v>857.14285714285711</v>
      </c>
      <c r="E20" s="164">
        <f t="shared" si="2"/>
        <v>750</v>
      </c>
      <c r="F20" s="164">
        <f t="shared" si="2"/>
        <v>714.28571428571433</v>
      </c>
      <c r="G20" s="164">
        <f t="shared" si="2"/>
        <v>666.66666666666663</v>
      </c>
      <c r="H20" s="164">
        <f t="shared" si="2"/>
        <v>625</v>
      </c>
      <c r="I20" s="164">
        <f t="shared" si="2"/>
        <v>600</v>
      </c>
      <c r="J20" s="164">
        <f t="shared" si="2"/>
        <v>545.4545454545455</v>
      </c>
    </row>
    <row r="21" spans="2:10" ht="25.05" customHeight="1" x14ac:dyDescent="0.3">
      <c r="B21" s="161">
        <v>0.45</v>
      </c>
      <c r="C21" s="164">
        <f t="shared" si="3"/>
        <v>888.88888888888891</v>
      </c>
      <c r="D21" s="164">
        <f t="shared" si="2"/>
        <v>761.90476190476193</v>
      </c>
      <c r="E21" s="164">
        <f t="shared" si="2"/>
        <v>666.66666666666663</v>
      </c>
      <c r="F21" s="164">
        <f t="shared" si="2"/>
        <v>634.92063492063494</v>
      </c>
      <c r="G21" s="164">
        <f t="shared" si="2"/>
        <v>592.59259259259261</v>
      </c>
      <c r="H21" s="164">
        <f t="shared" si="2"/>
        <v>555.55555555555554</v>
      </c>
      <c r="I21" s="164">
        <f t="shared" si="2"/>
        <v>533.33333333333337</v>
      </c>
      <c r="J21" s="164">
        <f t="shared" si="2"/>
        <v>484.84848484848487</v>
      </c>
    </row>
    <row r="22" spans="2:10" ht="25.05" customHeight="1" x14ac:dyDescent="0.3">
      <c r="B22" s="161">
        <v>0.48</v>
      </c>
      <c r="C22" s="164">
        <f t="shared" si="3"/>
        <v>833.33333333333337</v>
      </c>
      <c r="D22" s="164">
        <f t="shared" si="2"/>
        <v>714.28571428571433</v>
      </c>
      <c r="E22" s="164">
        <f t="shared" si="2"/>
        <v>625</v>
      </c>
      <c r="F22" s="164">
        <f t="shared" si="2"/>
        <v>595.23809523809518</v>
      </c>
      <c r="G22" s="164">
        <f t="shared" si="2"/>
        <v>555.55555555555554</v>
      </c>
      <c r="H22" s="164">
        <f t="shared" si="2"/>
        <v>520.83333333333337</v>
      </c>
      <c r="I22" s="164">
        <f t="shared" si="2"/>
        <v>500</v>
      </c>
      <c r="J22" s="164">
        <f t="shared" si="2"/>
        <v>454.54545454545456</v>
      </c>
    </row>
    <row r="23" spans="2:10" ht="25.05" customHeight="1" x14ac:dyDescent="0.3">
      <c r="B23" s="161">
        <v>0.5</v>
      </c>
      <c r="C23" s="164">
        <f t="shared" si="3"/>
        <v>800</v>
      </c>
      <c r="D23" s="164">
        <f t="shared" si="2"/>
        <v>685.71428571428567</v>
      </c>
      <c r="E23" s="164">
        <f t="shared" si="2"/>
        <v>600</v>
      </c>
      <c r="F23" s="164">
        <f t="shared" si="2"/>
        <v>571.42857142857144</v>
      </c>
      <c r="G23" s="164">
        <f t="shared" si="2"/>
        <v>533.33333333333337</v>
      </c>
      <c r="H23" s="164">
        <f t="shared" si="2"/>
        <v>500</v>
      </c>
      <c r="I23" s="164">
        <f t="shared" si="2"/>
        <v>480</v>
      </c>
      <c r="J23" s="164">
        <f t="shared" si="2"/>
        <v>436.36363636363637</v>
      </c>
    </row>
    <row r="24" spans="2:10" ht="25.05" customHeight="1" x14ac:dyDescent="0.3">
      <c r="B24" s="161">
        <v>0.52</v>
      </c>
      <c r="C24" s="164">
        <f t="shared" si="3"/>
        <v>769.23076923076928</v>
      </c>
      <c r="D24" s="164">
        <f t="shared" si="2"/>
        <v>659.34065934065939</v>
      </c>
      <c r="E24" s="164">
        <f t="shared" si="2"/>
        <v>576.92307692307691</v>
      </c>
      <c r="F24" s="164">
        <f t="shared" si="2"/>
        <v>549.45054945054949</v>
      </c>
      <c r="G24" s="164">
        <f t="shared" si="2"/>
        <v>512.82051282051282</v>
      </c>
      <c r="H24" s="164">
        <f t="shared" si="2"/>
        <v>480.76923076923077</v>
      </c>
      <c r="I24" s="164">
        <f t="shared" si="2"/>
        <v>461.53846153846155</v>
      </c>
      <c r="J24" s="164">
        <f t="shared" si="2"/>
        <v>419.58041958041957</v>
      </c>
    </row>
    <row r="25" spans="2:10" ht="25.05" customHeight="1" x14ac:dyDescent="0.3">
      <c r="B25" s="161">
        <v>0.55000000000000004</v>
      </c>
      <c r="C25" s="164">
        <f t="shared" si="3"/>
        <v>727.27272727272714</v>
      </c>
      <c r="D25" s="164">
        <f t="shared" si="2"/>
        <v>623.37662337662334</v>
      </c>
      <c r="E25" s="164">
        <f t="shared" si="2"/>
        <v>545.4545454545455</v>
      </c>
      <c r="F25" s="164">
        <f t="shared" si="2"/>
        <v>519.48051948051943</v>
      </c>
      <c r="G25" s="164">
        <f t="shared" si="2"/>
        <v>484.84848484848487</v>
      </c>
      <c r="H25" s="164">
        <f t="shared" si="2"/>
        <v>454.54545454545456</v>
      </c>
      <c r="I25" s="164">
        <f t="shared" si="2"/>
        <v>436.36363636363637</v>
      </c>
      <c r="J25" s="164">
        <f t="shared" si="2"/>
        <v>396.69421487603302</v>
      </c>
    </row>
    <row r="26" spans="2:10" ht="25.05" customHeight="1" x14ac:dyDescent="0.3">
      <c r="B26" s="161">
        <v>0.6</v>
      </c>
      <c r="C26" s="164">
        <f t="shared" si="3"/>
        <v>666.66666666666663</v>
      </c>
      <c r="D26" s="164">
        <f t="shared" si="2"/>
        <v>571.42857142857144</v>
      </c>
      <c r="E26" s="164">
        <f t="shared" si="2"/>
        <v>500</v>
      </c>
      <c r="F26" s="164">
        <f t="shared" si="2"/>
        <v>476.1904761904762</v>
      </c>
      <c r="G26" s="164">
        <f t="shared" si="2"/>
        <v>444.44444444444446</v>
      </c>
      <c r="H26" s="164">
        <f t="shared" si="2"/>
        <v>416.66666666666669</v>
      </c>
      <c r="I26" s="164">
        <f t="shared" si="2"/>
        <v>400</v>
      </c>
      <c r="J26" s="164">
        <f t="shared" si="2"/>
        <v>363.63636363636363</v>
      </c>
    </row>
    <row r="27" spans="2:10" ht="25.05" customHeight="1" x14ac:dyDescent="0.3">
      <c r="B27" s="161">
        <v>0.65</v>
      </c>
      <c r="C27" s="164">
        <f t="shared" si="3"/>
        <v>615.38461538461536</v>
      </c>
      <c r="D27" s="164">
        <f t="shared" si="2"/>
        <v>527.47252747252742</v>
      </c>
      <c r="E27" s="164">
        <f t="shared" si="2"/>
        <v>461.53846153846155</v>
      </c>
      <c r="F27" s="164">
        <f t="shared" si="2"/>
        <v>439.56043956043953</v>
      </c>
      <c r="G27" s="164">
        <f t="shared" si="2"/>
        <v>410.25641025641028</v>
      </c>
      <c r="H27" s="164">
        <f t="shared" si="2"/>
        <v>384.61538461538464</v>
      </c>
      <c r="I27" s="164">
        <f t="shared" si="2"/>
        <v>369.23076923076923</v>
      </c>
      <c r="J27" s="164">
        <f t="shared" si="2"/>
        <v>335.66433566433568</v>
      </c>
    </row>
    <row r="29" spans="2:10" ht="34.200000000000003" customHeight="1" thickBot="1" x14ac:dyDescent="0.4">
      <c r="B29" s="165" t="s">
        <v>259</v>
      </c>
      <c r="C29" s="166"/>
      <c r="D29" s="166"/>
      <c r="E29" s="166"/>
      <c r="F29" s="166"/>
      <c r="G29" s="166"/>
      <c r="H29" s="166"/>
      <c r="I29" s="166"/>
      <c r="J29" s="166"/>
    </row>
  </sheetData>
  <mergeCells count="5">
    <mergeCell ref="B2:J2"/>
    <mergeCell ref="B3:J3"/>
    <mergeCell ref="B5:J5"/>
    <mergeCell ref="B17:J17"/>
    <mergeCell ref="B29:J29"/>
  </mergeCells>
  <conditionalFormatting sqref="C7:J15">
    <cfRule type="cellIs" dxfId="4" priority="3" operator="between">
      <formula>1</formula>
      <formula>3</formula>
    </cfRule>
    <cfRule type="cellIs" dxfId="3" priority="4" operator="lessThan">
      <formula>1</formula>
    </cfRule>
    <cfRule type="cellIs" dxfId="2" priority="6" operator="greaterThan">
      <formula>3</formula>
    </cfRule>
  </conditionalFormatting>
  <conditionalFormatting sqref="C19:J27">
    <cfRule type="cellIs" dxfId="1" priority="1" operator="between">
      <formula>801</formula>
      <formula>1500</formula>
    </cfRule>
    <cfRule type="cellIs" dxfId="0" priority="2" operator="lessThan">
      <formula>801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98EA-79FB-4B0D-A65B-2072BC7DCEA9}">
  <sheetPr>
    <tabColor theme="5" tint="-0.249977111117893"/>
  </sheetPr>
  <dimension ref="B2:L30"/>
  <sheetViews>
    <sheetView topLeftCell="A15" workbookViewId="0">
      <selection activeCell="M3" sqref="M3"/>
    </sheetView>
  </sheetViews>
  <sheetFormatPr defaultRowHeight="14.4" x14ac:dyDescent="0.3"/>
  <cols>
    <col min="2" max="2" width="16.88671875" customWidth="1"/>
    <col min="3" max="5" width="18.77734375" customWidth="1"/>
    <col min="6" max="6" width="20.33203125" customWidth="1"/>
  </cols>
  <sheetData>
    <row r="2" spans="2:12" ht="39" customHeight="1" x14ac:dyDescent="0.3">
      <c r="B2" s="135" t="s">
        <v>260</v>
      </c>
      <c r="C2" s="135"/>
      <c r="D2" s="135"/>
      <c r="E2" s="135"/>
      <c r="F2" s="135"/>
      <c r="G2" s="175"/>
      <c r="H2" s="175"/>
      <c r="I2" s="175"/>
      <c r="J2" s="175"/>
    </row>
    <row r="3" spans="2:12" ht="30" customHeight="1" x14ac:dyDescent="0.3">
      <c r="B3" s="176" t="s">
        <v>114</v>
      </c>
      <c r="C3" s="167" t="s">
        <v>261</v>
      </c>
      <c r="D3" s="168" t="s">
        <v>262</v>
      </c>
      <c r="E3" s="169" t="s">
        <v>263</v>
      </c>
      <c r="F3" s="170" t="s">
        <v>264</v>
      </c>
    </row>
    <row r="4" spans="2:12" ht="22.2" customHeight="1" thickBot="1" x14ac:dyDescent="0.35">
      <c r="B4" s="146" t="s">
        <v>305</v>
      </c>
      <c r="C4" s="156"/>
      <c r="D4" s="156"/>
      <c r="E4" s="156"/>
      <c r="F4" s="156"/>
      <c r="G4" s="184"/>
      <c r="H4" s="184"/>
      <c r="I4" s="184"/>
      <c r="J4" s="184"/>
      <c r="K4" s="188"/>
      <c r="L4" s="183"/>
    </row>
    <row r="5" spans="2:12" ht="30" customHeight="1" x14ac:dyDescent="0.3">
      <c r="B5" s="171" t="s">
        <v>265</v>
      </c>
      <c r="C5" s="177">
        <v>4000</v>
      </c>
      <c r="D5" s="172" t="s">
        <v>266</v>
      </c>
      <c r="E5" s="172" t="s">
        <v>267</v>
      </c>
      <c r="F5" s="185" t="s">
        <v>268</v>
      </c>
      <c r="G5" s="189"/>
      <c r="H5" s="190"/>
      <c r="I5" s="190"/>
      <c r="J5" s="190"/>
      <c r="K5" s="190"/>
      <c r="L5" s="191"/>
    </row>
    <row r="6" spans="2:12" ht="30" customHeight="1" x14ac:dyDescent="0.3">
      <c r="B6" s="173" t="s">
        <v>269</v>
      </c>
      <c r="C6" s="174" t="s">
        <v>270</v>
      </c>
      <c r="D6" s="174" t="s">
        <v>271</v>
      </c>
      <c r="E6" s="174" t="s">
        <v>272</v>
      </c>
      <c r="F6" s="186" t="s">
        <v>273</v>
      </c>
      <c r="G6" s="189"/>
      <c r="H6" s="190"/>
      <c r="I6" s="190"/>
      <c r="J6" s="190"/>
      <c r="K6" s="190"/>
      <c r="L6" s="191"/>
    </row>
    <row r="7" spans="2:12" ht="15.6" customHeight="1" x14ac:dyDescent="0.3">
      <c r="G7" s="189"/>
      <c r="H7" s="190"/>
      <c r="I7" s="190"/>
      <c r="J7" s="190"/>
      <c r="K7" s="190"/>
      <c r="L7" s="191"/>
    </row>
    <row r="8" spans="2:12" ht="22.2" customHeight="1" thickBot="1" x14ac:dyDescent="0.35">
      <c r="B8" s="146" t="s">
        <v>306</v>
      </c>
      <c r="C8" s="156"/>
      <c r="D8" s="156"/>
      <c r="E8" s="156"/>
      <c r="F8" s="156"/>
      <c r="G8" s="189"/>
      <c r="H8" s="190"/>
      <c r="I8" s="190"/>
      <c r="J8" s="190"/>
      <c r="K8" s="190"/>
      <c r="L8" s="191"/>
    </row>
    <row r="9" spans="2:12" ht="30" customHeight="1" x14ac:dyDescent="0.3">
      <c r="B9" s="171" t="s">
        <v>106</v>
      </c>
      <c r="C9" s="172" t="s">
        <v>274</v>
      </c>
      <c r="D9" s="172" t="s">
        <v>275</v>
      </c>
      <c r="E9" s="172" t="s">
        <v>268</v>
      </c>
      <c r="F9" s="185" t="s">
        <v>307</v>
      </c>
      <c r="G9" s="189"/>
      <c r="H9" s="190"/>
      <c r="I9" s="190"/>
      <c r="J9" s="190"/>
      <c r="K9" s="190"/>
      <c r="L9" s="191"/>
    </row>
    <row r="10" spans="2:12" ht="30" customHeight="1" x14ac:dyDescent="0.3">
      <c r="B10" s="173" t="s">
        <v>276</v>
      </c>
      <c r="C10" s="174" t="s">
        <v>277</v>
      </c>
      <c r="D10" s="174" t="s">
        <v>278</v>
      </c>
      <c r="E10" s="174" t="s">
        <v>279</v>
      </c>
      <c r="F10" s="186" t="s">
        <v>280</v>
      </c>
      <c r="G10" s="189"/>
      <c r="H10" s="190"/>
      <c r="I10" s="190"/>
      <c r="J10" s="190"/>
      <c r="K10" s="190"/>
      <c r="L10" s="191"/>
    </row>
    <row r="11" spans="2:12" ht="12.6" customHeight="1" x14ac:dyDescent="0.3">
      <c r="G11" s="189"/>
      <c r="H11" s="190"/>
      <c r="I11" s="190"/>
      <c r="J11" s="190"/>
      <c r="K11" s="190"/>
      <c r="L11" s="191"/>
    </row>
    <row r="12" spans="2:12" ht="22.2" customHeight="1" thickBot="1" x14ac:dyDescent="0.35">
      <c r="B12" s="146" t="s">
        <v>308</v>
      </c>
      <c r="C12" s="156"/>
      <c r="D12" s="156"/>
      <c r="E12" s="156"/>
      <c r="F12" s="156"/>
      <c r="G12" s="189"/>
      <c r="H12" s="190"/>
      <c r="I12" s="190"/>
      <c r="J12" s="190"/>
      <c r="K12" s="190"/>
      <c r="L12" s="191"/>
    </row>
    <row r="13" spans="2:12" ht="30" customHeight="1" x14ac:dyDescent="0.3">
      <c r="B13" s="171" t="s">
        <v>281</v>
      </c>
      <c r="C13" s="172" t="s">
        <v>282</v>
      </c>
      <c r="D13" s="172" t="s">
        <v>283</v>
      </c>
      <c r="E13" s="172" t="s">
        <v>284</v>
      </c>
      <c r="F13" s="185" t="s">
        <v>309</v>
      </c>
      <c r="G13" s="189"/>
      <c r="H13" s="190"/>
      <c r="I13" s="190"/>
      <c r="J13" s="190"/>
      <c r="K13" s="190"/>
      <c r="L13" s="191"/>
    </row>
    <row r="14" spans="2:12" ht="30" customHeight="1" x14ac:dyDescent="0.3">
      <c r="B14" s="178" t="s">
        <v>286</v>
      </c>
      <c r="C14" s="179" t="s">
        <v>287</v>
      </c>
      <c r="D14" s="179" t="s">
        <v>288</v>
      </c>
      <c r="E14" s="179" t="s">
        <v>289</v>
      </c>
      <c r="F14" s="187" t="s">
        <v>310</v>
      </c>
      <c r="G14" s="189"/>
      <c r="H14" s="190"/>
      <c r="I14" s="190"/>
      <c r="J14" s="190"/>
      <c r="K14" s="190"/>
      <c r="L14" s="191"/>
    </row>
    <row r="15" spans="2:12" ht="30" customHeight="1" x14ac:dyDescent="0.3">
      <c r="B15" s="171" t="s">
        <v>300</v>
      </c>
      <c r="C15" s="172" t="s">
        <v>301</v>
      </c>
      <c r="D15" s="172" t="s">
        <v>302</v>
      </c>
      <c r="E15" s="172" t="s">
        <v>303</v>
      </c>
      <c r="F15" s="185" t="s">
        <v>299</v>
      </c>
      <c r="G15" s="189"/>
      <c r="H15" s="190"/>
      <c r="I15" s="190"/>
      <c r="J15" s="190"/>
      <c r="K15" s="190"/>
      <c r="L15" s="191"/>
    </row>
    <row r="16" spans="2:12" x14ac:dyDescent="0.3">
      <c r="G16" s="191"/>
      <c r="H16" s="191"/>
      <c r="I16" s="191"/>
      <c r="J16" s="191"/>
      <c r="K16" s="191"/>
      <c r="L16" s="191"/>
    </row>
    <row r="17" spans="2:6" ht="21.6" customHeight="1" thickBot="1" x14ac:dyDescent="0.35">
      <c r="B17" s="146" t="s">
        <v>311</v>
      </c>
      <c r="C17" s="156"/>
      <c r="D17" s="156"/>
      <c r="E17" s="156"/>
      <c r="F17" s="156"/>
    </row>
    <row r="18" spans="2:6" ht="30" customHeight="1" x14ac:dyDescent="0.3">
      <c r="B18" s="173" t="s">
        <v>290</v>
      </c>
      <c r="C18" s="174" t="s">
        <v>291</v>
      </c>
      <c r="D18" s="174" t="s">
        <v>292</v>
      </c>
      <c r="E18" s="174" t="s">
        <v>271</v>
      </c>
      <c r="F18" s="174" t="s">
        <v>312</v>
      </c>
    </row>
    <row r="19" spans="2:6" ht="30" customHeight="1" x14ac:dyDescent="0.3">
      <c r="B19" s="171" t="s">
        <v>293</v>
      </c>
      <c r="C19" s="172" t="s">
        <v>282</v>
      </c>
      <c r="D19" s="172" t="s">
        <v>271</v>
      </c>
      <c r="E19" s="172" t="s">
        <v>294</v>
      </c>
      <c r="F19" s="172" t="s">
        <v>313</v>
      </c>
    </row>
    <row r="20" spans="2:6" ht="30" customHeight="1" x14ac:dyDescent="0.3">
      <c r="B20" s="173" t="s">
        <v>285</v>
      </c>
      <c r="C20" s="174" t="s">
        <v>314</v>
      </c>
      <c r="D20" s="174" t="s">
        <v>315</v>
      </c>
      <c r="E20" s="174" t="s">
        <v>316</v>
      </c>
      <c r="F20" s="174" t="s">
        <v>317</v>
      </c>
    </row>
    <row r="22" spans="2:6" ht="21" customHeight="1" thickBot="1" x14ac:dyDescent="0.35">
      <c r="B22" s="146" t="s">
        <v>318</v>
      </c>
      <c r="C22" s="156"/>
      <c r="D22" s="156"/>
      <c r="E22" s="156"/>
      <c r="F22" s="156"/>
    </row>
    <row r="23" spans="2:6" ht="30" customHeight="1" x14ac:dyDescent="0.3">
      <c r="B23" s="173" t="s">
        <v>295</v>
      </c>
      <c r="C23" s="174" t="s">
        <v>296</v>
      </c>
      <c r="D23" s="174" t="s">
        <v>297</v>
      </c>
      <c r="E23" s="174" t="s">
        <v>298</v>
      </c>
      <c r="F23" s="174" t="s">
        <v>299</v>
      </c>
    </row>
    <row r="24" spans="2:6" ht="30" customHeight="1" x14ac:dyDescent="0.3">
      <c r="B24" s="180" t="s">
        <v>319</v>
      </c>
      <c r="C24" s="181" t="s">
        <v>320</v>
      </c>
      <c r="D24" s="181" t="s">
        <v>321</v>
      </c>
      <c r="E24" s="181" t="s">
        <v>322</v>
      </c>
      <c r="F24" s="181" t="s">
        <v>323</v>
      </c>
    </row>
    <row r="25" spans="2:6" ht="30" customHeight="1" x14ac:dyDescent="0.3">
      <c r="B25" s="173" t="s">
        <v>304</v>
      </c>
      <c r="C25" s="174" t="s">
        <v>324</v>
      </c>
      <c r="D25" s="174" t="s">
        <v>325</v>
      </c>
      <c r="E25" s="174" t="s">
        <v>326</v>
      </c>
      <c r="F25" s="174" t="s">
        <v>327</v>
      </c>
    </row>
    <row r="28" spans="2:6" ht="34.799999999999997" customHeight="1" thickBot="1" x14ac:dyDescent="0.35">
      <c r="B28" s="165" t="s">
        <v>328</v>
      </c>
      <c r="C28" s="165"/>
      <c r="D28" s="165"/>
      <c r="E28" s="165"/>
      <c r="F28" s="165"/>
    </row>
    <row r="30" spans="2:6" x14ac:dyDescent="0.3">
      <c r="B30" s="182" t="s">
        <v>329</v>
      </c>
    </row>
  </sheetData>
  <mergeCells count="7">
    <mergeCell ref="B12:F12"/>
    <mergeCell ref="B17:F17"/>
    <mergeCell ref="B22:F22"/>
    <mergeCell ref="B28:F28"/>
    <mergeCell ref="B2:F2"/>
    <mergeCell ref="B4:F4"/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Navigator </vt:lpstr>
      <vt:lpstr>Assumptions</vt:lpstr>
      <vt:lpstr> Unit Economics</vt:lpstr>
      <vt:lpstr> P&amp;L Model</vt:lpstr>
      <vt:lpstr> Scenario Comparison</vt:lpstr>
      <vt:lpstr> Sensitivity Analysis</vt:lpstr>
      <vt:lpstr> Competitive Intel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Pawar</dc:creator>
  <cp:lastModifiedBy>Soham Pawar</cp:lastModifiedBy>
  <dcterms:created xsi:type="dcterms:W3CDTF">2015-06-05T18:17:20Z</dcterms:created>
  <dcterms:modified xsi:type="dcterms:W3CDTF">2026-04-14T07:41:08Z</dcterms:modified>
</cp:coreProperties>
</file>